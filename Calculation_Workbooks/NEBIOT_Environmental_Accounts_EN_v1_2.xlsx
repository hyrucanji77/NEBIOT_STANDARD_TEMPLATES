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8a6bfe026e4589" /></Relationships>
</file>

<file path=xl/workbook.xml><?xml version="1.0" encoding="utf-8"?>
<x:workbook xmlns:x="http://schemas.openxmlformats.org/spreadsheetml/2006/main">
  <x:sheets>
    <x:sheet xmlns:r="http://schemas.openxmlformats.org/officeDocument/2006/relationships" name="Readme" sheetId="1" r:id="Rf53e3fb51ae84610"/>
    <x:sheet xmlns:r="http://schemas.openxmlformats.org/officeDocument/2006/relationships" name="Profile" sheetId="2" r:id="R59cb928397504f7f"/>
    <x:sheet xmlns:r="http://schemas.openxmlformats.org/officeDocument/2006/relationships" name="Evidence" sheetId="3" r:id="Rfa209fad75dc42dd"/>
    <x:sheet xmlns:r="http://schemas.openxmlformats.org/officeDocument/2006/relationships" name="Spatial" sheetId="4" r:id="R9d21d60f03114975"/>
    <x:sheet xmlns:r="http://schemas.openxmlformats.org/officeDocument/2006/relationships" name="Factors" sheetId="5" r:id="Rf19922b2c84242ac"/>
    <x:sheet xmlns:r="http://schemas.openxmlformats.org/officeDocument/2006/relationships" name="Components" sheetId="6" r:id="R04767e739868493a"/>
    <x:sheet xmlns:r="http://schemas.openxmlformats.org/officeDocument/2006/relationships" name="ExAnte" sheetId="7" r:id="Rb7f42f334dd1428b"/>
    <x:sheet xmlns:r="http://schemas.openxmlformats.org/officeDocument/2006/relationships" name="ExPost" sheetId="8" r:id="Rffcc8cd592854c12"/>
    <x:sheet xmlns:r="http://schemas.openxmlformats.org/officeDocument/2006/relationships" name="Settlement" sheetId="9" r:id="R663a806a6e3d4a8a"/>
    <x:sheet xmlns:r="http://schemas.openxmlformats.org/officeDocument/2006/relationships" name="CarryForward" sheetId="10" r:id="Rca4f1c6a5bf84327"/>
    <x:sheet xmlns:r="http://schemas.openxmlformats.org/officeDocument/2006/relationships" name="Results" sheetId="11" r:id="R192a04b93f2a411a"/>
    <x:sheet xmlns:r="http://schemas.openxmlformats.org/officeDocument/2006/relationships" name="Comparison" sheetId="12" r:id="Rc82e44968e714077"/>
    <x:sheet xmlns:r="http://schemas.openxmlformats.org/officeDocument/2006/relationships" name="Migration" sheetId="13" r:id="Ra36921c327ed415e"/>
    <x:sheet xmlns:r="http://schemas.openxmlformats.org/officeDocument/2006/relationships" name="Allocation" sheetId="14" r:id="Rd863b16bfbb942fa"/>
    <x:sheet xmlns:r="http://schemas.openxmlformats.org/officeDocument/2006/relationships" name="Checks" sheetId="15" r:id="R791d99510c684a63"/>
    <x:sheet xmlns:r="http://schemas.openxmlformats.org/officeDocument/2006/relationships" name="Examples" sheetId="16" r:id="R202bbf8d11d74300"/>
    <x:sheet xmlns:r="http://schemas.openxmlformats.org/officeDocument/2006/relationships" name="Formula_Map" sheetId="17" r:id="R625160b77ca74d1e"/>
    <x:sheet xmlns:r="http://schemas.openxmlformats.org/officeDocument/2006/relationships" name="Symbol_Map" sheetId="18" r:id="R78e1211ee7ea4b64"/>
    <x:sheet xmlns:r="http://schemas.openxmlformats.org/officeDocument/2006/relationships" name="Math_Notation" sheetId="19" r:id="R05877352e3cf4bef"/>
    <x:sheet xmlns:r="http://schemas.openxmlformats.org/officeDocument/2006/relationships" name="Source_Map" sheetId="20" r:id="R88225efa50d34b25"/>
    <x:sheet xmlns:r="http://schemas.openxmlformats.org/officeDocument/2006/relationships" name="Reviewer_Match" sheetId="21" r:id="R44af23802f5e41e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Red](#,##0.0000);0.0000"/>
    <x:numFmt numFmtId="201" formatCode="@"/>
    <x:numFmt numFmtId="202" formatCode="#,##0.00000000;[Red](#,##0.00000000);0.00000000"/>
  </x:numFmts>
  <x:fonts count="15">
    <x:font>
      <x:sz val="11"/>
      <x:name val="Carlito"/>
    </x:font>
    <x:font>
      <x:sz val="11"/>
      <x:color rgb="FF243A36"/>
      <x:name val="Lato"/>
    </x:font>
    <x:font>
      <x:sz val="19"/>
      <x:color rgb="FFFFFFFF"/>
      <x:name val="Lato"/>
    </x:font>
    <x:font>
      <x:sz val="10"/>
      <x:color rgb="FF243A36"/>
      <x:name val="Lato"/>
    </x:font>
    <x:font>
      <x:b/>
      <x:sz val="19"/>
      <x:color rgb="FFFFFFFF"/>
      <x:name val="Lato"/>
    </x:font>
    <x:font>
      <x:sz val="10"/>
      <x:color rgb="FF62716E"/>
      <x:name val="Lato"/>
    </x:font>
    <x:font>
      <x:b/>
      <x:sz val="10"/>
      <x:color rgb="FFFFFFFF"/>
      <x:name val="Lato"/>
    </x:font>
    <x:font>
      <x:sz val="10"/>
      <x:color rgb="FF153C77"/>
      <x:name val="Lato"/>
    </x:font>
    <x:font>
      <x:sz val="10"/>
      <x:color rgb="FF62716E"/>
      <x:name val="Carlito"/>
    </x:font>
    <x:font>
      <x:b/>
      <x:sz val="15"/>
      <x:color rgb="FFFFFFFF"/>
      <x:name val="Carlito"/>
    </x:font>
    <x:font>
      <x:sz val="10"/>
      <x:color rgb="FF425D53"/>
      <x:name val="Carlito"/>
    </x:font>
    <x:font>
      <x:b/>
      <x:sz val="11"/>
      <x:color rgb="FFFFFFFF"/>
      <x:name val="Carlito"/>
    </x:font>
    <x:font>
      <x:sz val="10"/>
      <x:name val="Carlito"/>
    </x:font>
    <x:font>
      <x:sz val="10"/>
      <x:color rgb="FF0000FF"/>
      <x:name val="Carlito"/>
    </x:font>
    <x:font>
      <x:sz val="11"/>
      <x:color rgb="FF0000FF"/>
      <x:name val="Carlito"/>
    </x:font>
  </x:fonts>
  <x:fills count="8">
    <x:fill>
      <x:patternFill patternType="none"/>
    </x:fill>
    <x:fill>
      <x:patternFill patternType="gray125"/>
    </x:fill>
    <x:fill>
      <x:patternFill patternType="solid">
        <x:fgColor rgb="FF215F52"/>
      </x:patternFill>
    </x:fill>
    <x:fill>
      <x:patternFill patternType="solid">
        <x:fgColor rgb="FFFFFFFF"/>
      </x:patternFill>
    </x:fill>
    <x:fill>
      <x:patternFill patternType="solid">
        <x:fgColor rgb="FFF1F5F2"/>
      </x:patternFill>
    </x:fill>
    <x:fill>
      <x:patternFill patternType="solid">
        <x:fgColor rgb="FF215F52"/>
      </x:patternFill>
    </x:fill>
    <x:fill>
      <x:patternFill patternType="solid">
        <x:fgColor rgb="FFFFF2CC"/>
      </x:patternFill>
    </x:fill>
    <x:fill>
      <x:patternFill patternType="solid">
        <x:fgColor rgb="FFEAF1EB"/>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1" xfId="0" applyNumberFormat="1" applyFont="1" applyFill="1" applyBorder="1"/>
    <x:xf numFmtId="0" fontId="3" fillId="0"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4" fillId="2"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x:xf>
    <x:xf numFmtId="0" fontId="5" fillId="0" borderId="1"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x:xf>
    <x:xf numFmtId="0" fontId="6" fillId="2" borderId="1" xfId="0" applyNumberFormat="1" applyFont="1" applyFill="1" applyBorder="1" applyAlignment="1">
      <x:alignment vertical="center" wrapText="1"/>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7" fillId="0" borderId="1" xfId="0" applyNumberFormat="1" applyFont="1" applyFill="1" applyBorder="1" applyAlignment="1">
      <x:alignment vertical="center"/>
    </x:xf>
    <x:xf numFmtId="0" fontId="7" fillId="0" borderId="1"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200" fontId="7" fillId="0" borderId="1"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201" fontId="7" fillId="0" borderId="1" xfId="0" applyNumberFormat="1" applyFont="1" applyFill="1" applyBorder="1" applyAlignment="1">
      <x:alignment vertical="center" wrapText="1"/>
    </x:xf>
    <x:xf numFmtId="200" fontId="7"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200" fontId="7" fillId="4" borderId="1" xfId="0" applyNumberFormat="1" applyFont="1" applyFill="1" applyBorder="1" applyAlignment="1">
      <x:alignment vertical="center" wrapText="1"/>
    </x:xf>
    <x:xf numFmtId="200" fontId="3" fillId="4"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1" fillId="4" borderId="1" xfId="0" applyNumberFormat="1" applyFont="1" applyFill="1" applyBorder="1" applyAlignment="1">
      <x:alignment vertical="center" wrapText="1"/>
    </x:xf>
    <x:xf numFmtId="0" fontId="0" fillId="4" borderId="1" xfId="0" applyNumberFormat="1" applyFont="1" applyFill="1" applyBorder="1"/>
    <x:xf numFmtId="0" fontId="5" fillId="4" borderId="1" xfId="0" applyNumberFormat="1" applyFont="1" applyFill="1" applyBorder="1" applyAlignment="1">
      <x:alignment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9" fillId="5"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xf numFmtId="0" fontId="11" fillId="5" borderId="0" xfId="0" applyNumberFormat="1" applyFont="1" applyFill="1" applyBorder="1"/>
    <x:xf numFmtId="0" fontId="11" fillId="5" borderId="0" xfId="0" applyNumberFormat="1" applyFont="1" applyFill="1" applyBorder="1" applyAlignment="1">
      <x:alignment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0" fillId="6" borderId="0" xfId="0" applyNumberFormat="1" applyFont="1" applyFill="1" applyBorder="1"/>
    <x:xf numFmtId="0" fontId="14" fillId="6" borderId="0" xfId="0" applyNumberFormat="1" applyFont="1" applyFill="1" applyBorder="1"/>
    <x:xf numFmtId="202" fontId="12" fillId="0" borderId="0" xfId="0" applyNumberFormat="1" applyFont="1" applyFill="1" applyBorder="1" applyAlignment="1">
      <x:alignment vertical="top" wrapText="1"/>
    </x:xf>
    <x:xf numFmtId="202" fontId="12"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202" fontId="13" fillId="0" borderId="0" xfId="0" applyNumberFormat="1" applyFont="1" applyFill="1" applyBorder="1" applyAlignment="1">
      <x:alignment vertical="top" wrapText="1"/>
    </x:xf>
  </x:cellXfs>
  <x:cellStyles count="1">
    <x:cellStyle name="Normal" xfId="0"/>
  </x:cellStyles>
  <x:dxfs count="10">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
      <x:font>
        <x:color rgb="FF923A24"/>
      </x:font>
      <x:fill>
        <x:patternFill>
          <x:bgColor rgb="FFFCE4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57ccac44a14f91" /><Relationship Type="http://schemas.openxmlformats.org/officeDocument/2006/relationships/theme" Target="/xl/theme/theme1.xml" Id="Rb37cd5d1d2c0445f" /><Relationship Type="http://schemas.openxmlformats.org/officeDocument/2006/relationships/sharedStrings" Target="/xl/sharedStrings.xml" Id="R8bb5e55c746149cd" /><Relationship Type="http://schemas.openxmlformats.org/officeDocument/2006/relationships/worksheet" Target="/xl/worksheets/sheet1.xml" Id="Rf53e3fb51ae84610" /><Relationship Type="http://schemas.openxmlformats.org/officeDocument/2006/relationships/worksheet" Target="/xl/worksheets/sheet2.xml" Id="R59cb928397504f7f" /><Relationship Type="http://schemas.openxmlformats.org/officeDocument/2006/relationships/worksheet" Target="/xl/worksheets/sheet3.xml" Id="Rfa209fad75dc42dd" /><Relationship Type="http://schemas.openxmlformats.org/officeDocument/2006/relationships/worksheet" Target="/xl/worksheets/sheet4.xml" Id="R9d21d60f03114975" /><Relationship Type="http://schemas.openxmlformats.org/officeDocument/2006/relationships/worksheet" Target="/xl/worksheets/sheet5.xml" Id="Rf19922b2c84242ac" /><Relationship Type="http://schemas.openxmlformats.org/officeDocument/2006/relationships/worksheet" Target="/xl/worksheets/sheet6.xml" Id="R04767e739868493a" /><Relationship Type="http://schemas.openxmlformats.org/officeDocument/2006/relationships/worksheet" Target="/xl/worksheets/sheet7.xml" Id="Rb7f42f334dd1428b" /><Relationship Type="http://schemas.openxmlformats.org/officeDocument/2006/relationships/worksheet" Target="/xl/worksheets/sheet8.xml" Id="Rffcc8cd592854c12" /><Relationship Type="http://schemas.openxmlformats.org/officeDocument/2006/relationships/worksheet" Target="/xl/worksheets/sheet9.xml" Id="R663a806a6e3d4a8a" /><Relationship Type="http://schemas.openxmlformats.org/officeDocument/2006/relationships/worksheet" Target="/xl/worksheets/sheet10.xml" Id="Rca4f1c6a5bf84327" /><Relationship Type="http://schemas.openxmlformats.org/officeDocument/2006/relationships/worksheet" Target="/xl/worksheets/sheet11.xml" Id="R192a04b93f2a411a" /><Relationship Type="http://schemas.openxmlformats.org/officeDocument/2006/relationships/worksheet" Target="/xl/worksheets/sheet12.xml" Id="Rc82e44968e714077" /><Relationship Type="http://schemas.openxmlformats.org/officeDocument/2006/relationships/worksheet" Target="/xl/worksheets/sheet13.xml" Id="Ra36921c327ed415e" /><Relationship Type="http://schemas.openxmlformats.org/officeDocument/2006/relationships/worksheet" Target="/xl/worksheets/sheet14.xml" Id="Rd863b16bfbb942fa" /><Relationship Type="http://schemas.openxmlformats.org/officeDocument/2006/relationships/worksheet" Target="/xl/worksheets/sheet15.xml" Id="R791d99510c684a63" /><Relationship Type="http://schemas.openxmlformats.org/officeDocument/2006/relationships/worksheet" Target="/xl/worksheets/sheet16.xml" Id="R202bbf8d11d74300" /><Relationship Type="http://schemas.openxmlformats.org/officeDocument/2006/relationships/worksheet" Target="/xl/worksheets/sheet17.xml" Id="R625160b77ca74d1e" /><Relationship Type="http://schemas.openxmlformats.org/officeDocument/2006/relationships/worksheet" Target="/xl/worksheets/sheet18.xml" Id="R78e1211ee7ea4b64" /><Relationship Type="http://schemas.openxmlformats.org/officeDocument/2006/relationships/worksheet" Target="/xl/worksheets/sheet19.xml" Id="R05877352e3cf4bef" /><Relationship Type="http://schemas.openxmlformats.org/officeDocument/2006/relationships/worksheet" Target="/xl/worksheets/sheet20.xml" Id="R88225efa50d34b25" /><Relationship Type="http://schemas.openxmlformats.org/officeDocument/2006/relationships/worksheet" Target="/xl/worksheets/sheet21.xml" Id="R44af23802f5e41e8" /></Relationships>
</file>

<file path=xl/drawings/_rels/drawing1.xml.rels>&#65279;<?xml version="1.0" encoding="utf-8"?><Relationships xmlns="http://schemas.openxmlformats.org/package/2006/relationships"><Relationship Type="http://schemas.openxmlformats.org/officeDocument/2006/relationships/image" Target="/xl/media/image.png" Id="R596175446d8a4473" /></Relationships>
</file>

<file path=xl/drawings/drawing1.xml><?xml version="1.0" encoding="utf-8"?>
<xdr:wsDr xmlns:xdr="http://schemas.openxmlformats.org/drawingml/2006/spreadsheetDrawing">
  <xdr:oneCellAnchor>
    <xdr:from>
      <xdr:col>0</xdr:col>
      <xdr:colOff>0</xdr:colOff>
      <xdr:row>0</xdr:row>
      <xdr:rowOff>0</xdr:rowOff>
    </xdr:from>
    <xdr:ext cx="5429250" cy="180975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596175446d8a447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812875552ab435e"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3" customHeight="1">
      <x:c r="A1" s="4"/>
      <x:c r="B1" s="4"/>
      <x:c r="C1" s="4"/>
      <x:c r="D1" s="4"/>
      <x:c r="E1" s="4"/>
      <x:c r="F1" s="4"/>
      <x:c r="G1" s="4"/>
      <x:c r="H1" s="4"/>
    </x:row>
    <x:row r="2" ht="23" customHeight="1">
      <x:c r="A2" s="4"/>
      <x:c r="B2" s="4"/>
      <x:c r="C2" s="4"/>
      <x:c r="D2" s="4"/>
      <x:c r="E2" s="4"/>
      <x:c r="F2" s="4"/>
      <x:c r="G2" s="4"/>
      <x:c r="H2" s="4"/>
    </x:row>
    <x:row r="3" ht="23" customHeight="1">
      <x:c r="A3" s="4"/>
      <x:c r="B3" s="4"/>
      <x:c r="C3" s="4"/>
      <x:c r="D3" s="4"/>
      <x:c r="E3" s="4"/>
      <x:c r="F3" s="4"/>
      <x:c r="G3" s="4"/>
      <x:c r="H3" s="4"/>
    </x:row>
    <x:row r="4" ht="23" customHeight="1">
      <x:c r="A4" s="4"/>
      <x:c r="B4" s="4"/>
      <x:c r="C4" s="4"/>
      <x:c r="D4" s="4"/>
      <x:c r="E4" s="4"/>
      <x:c r="F4" s="4"/>
      <x:c r="G4" s="4"/>
      <x:c r="H4" s="4"/>
    </x:row>
    <x:row r="5" ht="23" customHeight="1">
      <x:c r="A5" s="4"/>
      <x:c r="B5" s="4"/>
      <x:c r="C5" s="4"/>
      <x:c r="D5" s="4"/>
      <x:c r="E5" s="4"/>
      <x:c r="F5" s="4"/>
      <x:c r="G5" s="4"/>
      <x:c r="H5" s="4"/>
    </x:row>
    <x:row r="6" ht="23" customHeight="1">
      <x:c r="A6" s="4"/>
      <x:c r="B6" s="4"/>
      <x:c r="C6" s="4"/>
      <x:c r="D6" s="4"/>
      <x:c r="E6" s="4"/>
      <x:c r="F6" s="4"/>
      <x:c r="G6" s="4"/>
      <x:c r="H6" s="4"/>
    </x:row>
    <x:row r="7" ht="23" customHeight="1">
      <x:c r="A7" s="4"/>
      <x:c r="B7" s="4"/>
      <x:c r="C7" s="4"/>
      <x:c r="D7" s="4"/>
      <x:c r="E7" s="4"/>
      <x:c r="F7" s="4"/>
      <x:c r="G7" s="4"/>
      <x:c r="H7" s="4"/>
    </x:row>
    <x:row r="8" ht="23" customHeight="1">
      <x:c r="A8" s="4"/>
      <x:c r="B8" s="4"/>
      <x:c r="C8" s="4"/>
      <x:c r="D8" s="4"/>
      <x:c r="E8" s="4"/>
      <x:c r="F8" s="4"/>
      <x:c r="G8" s="4"/>
      <x:c r="H8" s="4"/>
    </x:row>
    <x:row r="9" ht="23" customHeight="1">
      <x:c r="A9" s="4"/>
      <x:c r="B9" s="4"/>
      <x:c r="C9" s="4"/>
      <x:c r="D9" s="4"/>
      <x:c r="E9" s="4"/>
      <x:c r="F9" s="4"/>
      <x:c r="G9" s="4"/>
      <x:c r="H9" s="4"/>
    </x:row>
    <x:row r="10" ht="23" customHeight="1">
      <x:c r="A10" s="9" t="str">
        <x:v>Environmental accounts | Ex-ante, ex-post and migration</x:v>
      </x:c>
      <x:c r="B10" s="9"/>
      <x:c r="C10" s="9"/>
      <x:c r="D10" s="9"/>
      <x:c r="E10" s="9"/>
      <x:c r="F10" s="9"/>
      <x:c r="G10" s="9"/>
      <x:c r="H10" s="9"/>
    </x:row>
    <x:row r="11" ht="23" customHeight="1">
      <x:c r="A11" s="9"/>
      <x:c r="B11" s="9"/>
      <x:c r="C11" s="9"/>
      <x:c r="D11" s="9"/>
      <x:c r="E11" s="9"/>
      <x:c r="F11" s="9"/>
      <x:c r="G11" s="9"/>
      <x:c r="H11" s="9"/>
    </x:row>
    <x:row r="12" ht="23" customHeight="1">
      <x:c r="A12" s="12" t="str">
        <x:v>Template edition 1.2 | NEBIOT Standard 0.8.2 | American English</x:v>
      </x:c>
      <x:c r="B12" s="12"/>
      <x:c r="C12" s="12"/>
      <x:c r="D12" s="12"/>
      <x:c r="E12" s="12"/>
      <x:c r="F12" s="12"/>
      <x:c r="G12" s="12"/>
      <x:c r="H12" s="12"/>
    </x:row>
    <x:row r="13" ht="23" customHeight="1">
      <x:c r="A13" s="12"/>
      <x:c r="B13" s="12"/>
      <x:c r="C13" s="12"/>
      <x:c r="D13" s="12"/>
      <x:c r="E13" s="12"/>
      <x:c r="F13" s="12"/>
      <x:c r="G13" s="12"/>
      <x:c r="H13" s="12"/>
    </x:row>
    <x:row r="14" ht="23" customHeight="1">
      <x:c r="A14" s="14" t="str">
        <x:v>This document is issued by Nuevo Estándar Biotropical—NEBIOT S.A.S. Henry Arellano-Peña is the methodological author of NEB001 and NEB002. Rights in NEBIOT's protected materials remain with their respective rights holders. Commercial use, reproduction, adaptation, redistribution, and sublicensing of protected material are subject to the applicable license or specific written permission from the authorized rights holder; permissions for use within the NEBIOT program shall be recorded in FRM-07 under S-21. Access to this document does not itself grant a commercial license, transfer ownership, authorize sublicensing, confer program admission, or authorize certification or issuance of environmental units. Supporting publications and third-party data, software, and images retain their respective licenses and attribution requirements; existing lawful permissions and uses permitted by applicable law remain unaffected. Authorized independent reviewers shall receive the access necessary for inspection, recalculation, and reporting under S-22, subject to the applicable permissions and confidentiality safeguards.</x:v>
      </x:c>
      <x:c r="B14" s="14"/>
      <x:c r="C14" s="14"/>
      <x:c r="D14" s="14"/>
      <x:c r="E14" s="14"/>
      <x:c r="F14" s="14"/>
      <x:c r="G14" s="14"/>
      <x:c r="H14" s="14"/>
    </x:row>
    <x:row r="15" ht="23" customHeight="1">
      <x:c r="A15" s="14"/>
      <x:c r="B15" s="14"/>
      <x:c r="C15" s="14"/>
      <x:c r="D15" s="14"/>
      <x:c r="E15" s="14"/>
      <x:c r="F15" s="14"/>
      <x:c r="G15" s="14"/>
      <x:c r="H15" s="14"/>
    </x:row>
    <x:row r="16" ht="23" customHeight="1">
      <x:c r="A16" s="14"/>
      <x:c r="B16" s="14"/>
      <x:c r="C16" s="14"/>
      <x:c r="D16" s="14"/>
      <x:c r="E16" s="14"/>
      <x:c r="F16" s="14"/>
      <x:c r="G16" s="14"/>
      <x:c r="H16" s="14"/>
    </x:row>
    <x:row r="17" ht="23" customHeight="1">
      <x:c r="A17" s="14"/>
      <x:c r="B17" s="14"/>
      <x:c r="C17" s="14"/>
      <x:c r="D17" s="14"/>
      <x:c r="E17" s="14"/>
      <x:c r="F17" s="14"/>
      <x:c r="G17" s="14"/>
      <x:c r="H17" s="14"/>
    </x:row>
    <x:row r="18" ht="23" customHeight="1">
      <x:c r="A18" s="14"/>
      <x:c r="B18" s="14"/>
      <x:c r="C18" s="14"/>
      <x:c r="D18" s="14"/>
      <x:c r="E18" s="14"/>
      <x:c r="F18" s="14"/>
      <x:c r="G18" s="14"/>
      <x:c r="H18" s="14"/>
    </x:row>
    <x:row r="19" ht="23" customHeight="1">
      <x:c r="A19" s="14"/>
      <x:c r="B19" s="14"/>
      <x:c r="C19" s="14"/>
      <x:c r="D19" s="14"/>
      <x:c r="E19" s="14"/>
      <x:c r="F19" s="14"/>
      <x:c r="G19" s="14"/>
      <x:c r="H19" s="14"/>
    </x:row>
    <x:row r="20" ht="23" customHeight="1">
      <x:c r="A20" s="14"/>
      <x:c r="B20" s="14"/>
      <x:c r="C20" s="14"/>
      <x:c r="D20" s="14"/>
      <x:c r="E20" s="14"/>
      <x:c r="F20" s="14"/>
      <x:c r="G20" s="14"/>
      <x:c r="H20" s="14"/>
    </x:row>
    <x:row r="21" ht="23" customHeight="1">
      <x:c r="A21" s="14"/>
      <x:c r="B21" s="14"/>
      <x:c r="C21" s="14"/>
      <x:c r="D21" s="14"/>
      <x:c r="E21" s="14"/>
      <x:c r="F21" s="14"/>
      <x:c r="G21" s="14"/>
      <x:c r="H21" s="14"/>
    </x:row>
    <x:row r="22" ht="23" customHeight="1">
      <x:c r="A22" s="4"/>
      <x:c r="B22" s="4"/>
      <x:c r="C22" s="4"/>
      <x:c r="D22" s="4"/>
      <x:c r="E22" s="4"/>
      <x:c r="F22" s="4"/>
      <x:c r="G22" s="4"/>
      <x:c r="H22" s="4"/>
    </x:row>
    <x:row r="23" ht="23" customHeight="1">
      <x:c r="A23" s="12" t="str">
        <x:v>Input cells are blue text; calculated cells have pale green backgrounds. Stable English sheet names and validation codes are shared across language editions. Blank values are missing—not zero. Enter explicit, evidenced zeros. No sheet issues NVEUs or establishes validation, verification, authorization or actual settlement.</x:v>
      </x:c>
      <x:c r="B23" s="12"/>
      <x:c r="C23" s="12"/>
      <x:c r="D23" s="12"/>
      <x:c r="E23" s="12"/>
      <x:c r="F23" s="12"/>
      <x:c r="G23" s="12"/>
      <x:c r="H23" s="12"/>
    </x:row>
    <x:row r="24" ht="23" customHeight="1">
      <x:c r="A24" s="12"/>
      <x:c r="B24" s="12"/>
      <x:c r="C24" s="12"/>
      <x:c r="D24" s="12"/>
      <x:c r="E24" s="12"/>
      <x:c r="F24" s="12"/>
      <x:c r="G24" s="12"/>
      <x:c r="H24" s="12"/>
    </x:row>
    <x:row r="25" ht="23" customHeight="1">
      <x:c r="A25" s="12"/>
      <x:c r="B25" s="12"/>
      <x:c r="C25" s="12"/>
      <x:c r="D25" s="12"/>
      <x:c r="E25" s="12"/>
      <x:c r="F25" s="12"/>
      <x:c r="G25" s="12"/>
      <x:c r="H25" s="12"/>
    </x:row>
    <x:row r="26" ht="23" customHeight="1">
      <x:c r="A26" s="4"/>
      <x:c r="B26" s="4"/>
      <x:c r="C26" s="4"/>
      <x:c r="D26" s="4"/>
      <x:c r="E26" s="4"/>
      <x:c r="F26" s="4"/>
      <x:c r="G26" s="4"/>
      <x:c r="H26" s="4"/>
    </x:row>
    <x:row r="27" ht="23" customHeight="1">
      <x:c r="A27" s="12" t="str">
        <x:v>Workflow: Profile → Evidence / Spatial / Factors → Components → ExAnte or ExPost. Then Settlement → CarryForward → Results for a reported period; Comparison and Migration retain matched historical records. Allocation distributes a parent quantity without creating observations. Examples is synthetic only. Use the Word/LaTeX reports for methodological explanation, uncertainty, rights, safeguards and review evidence.</x:v>
      </x:c>
      <x:c r="B27" s="12"/>
      <x:c r="C27" s="12"/>
      <x:c r="D27" s="12"/>
      <x:c r="E27" s="12"/>
      <x:c r="F27" s="12"/>
      <x:c r="G27" s="12"/>
      <x:c r="H27" s="12"/>
    </x:row>
    <x:row r="28" ht="23" customHeight="1">
      <x:c r="A28" s="12"/>
      <x:c r="B28" s="12"/>
      <x:c r="C28" s="12"/>
      <x:c r="D28" s="12"/>
      <x:c r="E28" s="12"/>
      <x:c r="F28" s="12"/>
      <x:c r="G28" s="12"/>
      <x:c r="H28" s="12"/>
    </x:row>
    <x:row r="29" ht="23" customHeight="1">
      <x:c r="A29" s="12"/>
      <x:c r="B29" s="12"/>
      <x:c r="C29" s="12"/>
      <x:c r="D29" s="12"/>
      <x:c r="E29" s="12"/>
      <x:c r="F29" s="12"/>
      <x:c r="G29" s="12"/>
      <x:c r="H29" s="12"/>
    </x:row>
    <x:row r="30" ht="23" customHeight="1">
      <x:c r="A30" s="12"/>
      <x:c r="B30" s="12"/>
      <x:c r="C30" s="12"/>
      <x:c r="D30" s="12"/>
      <x:c r="E30" s="12"/>
      <x:c r="F30" s="12"/>
      <x:c r="G30" s="12"/>
      <x:c r="H30" s="12"/>
    </x:row>
    <x:row r="31" ht="23" customHeight="1">
      <x:c r="A31" s="4"/>
      <x:c r="B31" s="4"/>
      <x:c r="C31" s="4"/>
      <x:c r="D31" s="4"/>
      <x:c r="E31" s="4"/>
      <x:c r="F31" s="4"/>
      <x:c r="G31" s="4"/>
      <x:c r="H31" s="4"/>
    </x:row>
    <x:row r="32" ht="23" customHeight="1">
      <x:c r="A32" s="12" t="str">
        <x:v>Capacity: 50 period rows, 300 component rows, 150 allocation rows. These are template capacities, not crediting horizons or program limits. Before extending, extend dependent formula ranges and repeat the checks. Preserve an unedited ex-ante snapshot and the original migration records. Do not overwrite an earlier estimate to manufacture agreement.</x:v>
      </x:c>
      <x:c r="B32" s="12"/>
      <x:c r="C32" s="12"/>
      <x:c r="D32" s="12"/>
      <x:c r="E32" s="12"/>
      <x:c r="F32" s="12"/>
      <x:c r="G32" s="12"/>
      <x:c r="H32" s="12"/>
    </x:row>
    <x:row r="33" ht="23" customHeight="1">
      <x:c r="A33" s="12"/>
      <x:c r="B33" s="12"/>
      <x:c r="C33" s="12"/>
      <x:c r="D33" s="12"/>
      <x:c r="E33" s="12"/>
      <x:c r="F33" s="12"/>
      <x:c r="G33" s="12"/>
      <x:c r="H33" s="12"/>
    </x:row>
    <x:row r="34" ht="23" customHeight="1">
      <x:c r="A34" s="12"/>
      <x:c r="B34" s="12"/>
      <x:c r="C34" s="12"/>
      <x:c r="D34" s="12"/>
      <x:c r="E34" s="12"/>
      <x:c r="F34" s="12"/>
      <x:c r="G34" s="12"/>
      <x:c r="H34" s="12"/>
    </x:row>
    <x:row r="35" ht="23" customHeight="1">
      <x:c r="A35" s="12"/>
      <x:c r="B35" s="12"/>
      <x:c r="C35" s="12"/>
      <x:c r="D35" s="12"/>
      <x:c r="E35" s="12"/>
      <x:c r="F35" s="12"/>
      <x:c r="G35" s="12"/>
      <x:c r="H35" s="12"/>
    </x:row>
    <x:row r="36" ht="23" customHeight="1">
      <x:c r="A36" s="4"/>
      <x:c r="B36" s="4"/>
      <x:c r="C36" s="4"/>
      <x:c r="D36" s="4"/>
      <x:c r="E36" s="4"/>
      <x:c r="F36" s="4"/>
      <x:c r="G36" s="4"/>
      <x:c r="H36" s="4"/>
    </x:row>
    <x:row r="37" ht="23" customHeight="1">
      <x:c r="A37" s="12" t="str">
        <x:v>Reference [1]: NEBIOT Standard 0.8.2, NEB-DOC-000; M04.5, M05, F-R03–F-R05, FRM-02, FRM-05, FRM-09 and NEB-MIG-001. Formula_Map identifies computational scope. Profile values and project data require their own evidence and decisions.</x:v>
      </x:c>
      <x:c r="B37" s="12"/>
      <x:c r="C37" s="12"/>
      <x:c r="D37" s="12"/>
      <x:c r="E37" s="12"/>
      <x:c r="F37" s="12"/>
      <x:c r="G37" s="12"/>
      <x:c r="H37" s="12"/>
    </x:row>
    <x:row r="38" ht="23" customHeight="1">
      <x:c r="A38" s="12"/>
      <x:c r="B38" s="12"/>
      <x:c r="C38" s="12"/>
      <x:c r="D38" s="12"/>
      <x:c r="E38" s="12"/>
      <x:c r="F38" s="12"/>
      <x:c r="G38" s="12"/>
      <x:c r="H38" s="12"/>
    </x:row>
    <x:row r="39" ht="23" customHeight="1">
      <x:c r="A39" s="12"/>
      <x:c r="B39" s="12"/>
      <x:c r="C39" s="12"/>
      <x:c r="D39" s="12"/>
      <x:c r="E39" s="12"/>
      <x:c r="F39" s="12"/>
      <x:c r="G39" s="12"/>
      <x:c r="H39" s="12"/>
    </x:row>
    <x:row r="40" ht="23" customHeight="1">
      <x:c r="A40" s="4"/>
      <x:c r="B40" s="4"/>
      <x:c r="C40" s="4"/>
      <x:c r="D40" s="4"/>
      <x:c r="E40" s="4"/>
      <x:c r="F40" s="4"/>
      <x:c r="G40" s="4"/>
      <x:c r="H40" s="4"/>
    </x:row>
    <x:row r="41" ht="23" customHeight="1">
      <x:c r="A41" s="46" t="str">
        <x:v>IMPLEMENTING ENTITY</x:v>
      </x:c>
      <x:c r="B41" s="46" t="str">
        <x:v>IMPLEMENTER / EJECUTOR</x:v>
      </x:c>
      <x:c r="C41" s="46" t="str">
        <x:v>PROJECT PROPONENT</x:v>
      </x:c>
      <x:c r="D41" s="46" t="str">
        <x:v>PROPONENT / PROPONENTE</x:v>
      </x:c>
      <x:c r="E41" s="46" t="str">
        <x:v>PROPONENT / PROPONENTE</x:v>
      </x:c>
      <x:c r="F41" s="46" t="str">
        <x:v>RIGHTS HOLDERS / STAKEHOLDERS</x:v>
      </x:c>
      <x:c r="G41" s="46" t="str">
        <x:v>STAKEHOLDERS / PARTES INTERESADAS</x:v>
      </x:c>
      <x:c r="H41" s="46" t="str">
        <x:v>STAKEHOLDERS / PARTES INTERESADAS</x:v>
      </x:c>
    </x:row>
    <x:row r="42" ht="23" customHeight="1">
      <x:c r="A42" s="46" t="str">
        <x:v>IMPLEMENTER / EJECUTOR</x:v>
      </x:c>
      <x:c r="B42" s="46" t="str">
        <x:v>IMPLEMENTER / EJECUTOR</x:v>
      </x:c>
      <x:c r="C42" s="46" t="str">
        <x:v>PROPONENT / PROPONENTE</x:v>
      </x:c>
      <x:c r="D42" s="46" t="str">
        <x:v>PROPONENT / PROPONENTE</x:v>
      </x:c>
      <x:c r="E42" s="46" t="str">
        <x:v>PROPONENT / PROPONENTE</x:v>
      </x:c>
      <x:c r="F42" s="46" t="str">
        <x:v>STAKEHOLDERS / PARTES INTERESADAS</x:v>
      </x:c>
      <x:c r="G42" s="46" t="str">
        <x:v>STAKEHOLDERS / PARTES INTERESADAS</x:v>
      </x:c>
      <x:c r="H42" s="46" t="str">
        <x:v>STAKEHOLDERS / PARTES INTERESADAS</x:v>
      </x:c>
    </x:row>
    <x:row r="43">
      <x:c r="A43" s="48" t="str">
        <x:v>IMPLEMENTER / EJECUTOR</x:v>
      </x:c>
      <x:c r="B43" s="48" t="str">
        <x:v>IMPLEMENTER / EJECUTOR</x:v>
      </x:c>
      <x:c r="C43" s="48" t="str">
        <x:v>PROPONENT / PROPONENTE</x:v>
      </x:c>
      <x:c r="D43" s="48" t="str">
        <x:v>PROPONENT / PROPONENTE</x:v>
      </x:c>
      <x:c r="E43" s="48" t="str">
        <x:v>PROPONENT / PROPONENTE</x:v>
      </x:c>
      <x:c r="F43" s="48" t="str">
        <x:v>STAKEHOLDERS / PARTES INTERESADAS</x:v>
      </x:c>
      <x:c r="G43" s="48" t="str">
        <x:v>STAKEHOLDERS / PARTES INTERESADAS</x:v>
      </x:c>
      <x:c r="H43" s="48" t="str">
        <x:v>STAKEHOLDERS / PARTES INTERESADAS</x:v>
      </x:c>
    </x:row>
    <x:row r="44">
      <x:c r="A44" s="48" t="str">
        <x:v>IMPLEMENTER / EJECUTOR</x:v>
      </x:c>
      <x:c r="B44" s="48" t="str">
        <x:v>IMPLEMENTER / EJECUTOR</x:v>
      </x:c>
      <x:c r="C44" s="48" t="str">
        <x:v>PROPONENT / PROPONENTE</x:v>
      </x:c>
      <x:c r="D44" s="48" t="str">
        <x:v>PROPONENT / PROPONENTE</x:v>
      </x:c>
      <x:c r="E44" s="48" t="str">
        <x:v>PROPONENT / PROPONENTE</x:v>
      </x:c>
      <x:c r="F44" s="48" t="str">
        <x:v>STAKEHOLDERS / PARTES INTERESADAS</x:v>
      </x:c>
      <x:c r="G44" s="48" t="str">
        <x:v>STAKEHOLDERS / PARTES INTERESADAS</x:v>
      </x:c>
      <x:c r="H44" s="48" t="str">
        <x:v>STAKEHOLDERS / PARTES INTERESADAS</x:v>
      </x:c>
    </x:row>
  </x:sheetData>
  <x:mergeCells>
    <x:mergeCell ref="A10:H11"/>
    <x:mergeCell ref="A12:H13"/>
    <x:mergeCell ref="A14:H21"/>
    <x:mergeCell ref="A23:H25"/>
    <x:mergeCell ref="A27:H30"/>
    <x:mergeCell ref="A32:H35"/>
    <x:mergeCell ref="A37:H39"/>
    <x:mergeCell ref="A41:B44"/>
    <x:mergeCell ref="C41:E44"/>
    <x:mergeCell ref="F41:H44"/>
  </x:mergeCells>
  <x:pageMargins left="0.7" right="0.7" top="0.75" bottom="0.75" header="0.3" footer="0.3"/>
  <x:drawing xmlns:r="http://schemas.openxmlformats.org/officeDocument/2006/relationships" r:id="R5812875552ab435e"/>
</x:worksheet>
</file>

<file path=xl/worksheets/sheet2.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63" hidden="0" customWidth="1"/>
    <x:col min="5" max="5" width="23" hidden="0" customWidth="1"/>
  </x:cols>
  <x:sheetData>
    <x:row r="1" ht="23" customHeight="1">
      <x:c r="A1" s="21" t="str">
        <x:v>Account profile</x:v>
      </x:c>
      <x:c r="B1" s="21"/>
      <x:c r="C1" s="21"/>
      <x:c r="D1" s="21"/>
    </x:row>
    <x:row r="2" ht="23" customHeight="1">
      <x:c r="A2" s="21"/>
      <x:c r="B2" s="21"/>
      <x:c r="C2" s="21"/>
      <x:c r="D2" s="21"/>
    </x:row>
    <x:row r="3" ht="23" customHeight="1">
      <x:c r="A3" s="25" t="str">
        <x:v>Complete the project-specific profile. Blank policy fields are not defaults.</x:v>
      </x:c>
      <x:c r="B3" s="25"/>
      <x:c r="C3" s="25"/>
      <x:c r="D3" s="25"/>
    </x:row>
    <x:row r="4" ht="23" customHeight="1">
      <x:c r="A4" s="25"/>
      <x:c r="B4" s="25"/>
      <x:c r="C4" s="25"/>
      <x:c r="D4" s="25"/>
    </x:row>
    <x:row r="5" ht="47" customHeight="1">
      <x:c r="A5" s="29" t="str">
        <x:v>Field</x:v>
      </x:c>
      <x:c r="B5" s="29" t="str">
        <x:v>Value</x:v>
      </x:c>
      <x:c r="C5" s="29" t="str">
        <x:v>Unit / code</x:v>
      </x:c>
      <x:c r="D5" s="29" t="str">
        <x:v>Evidence and interpretation</x:v>
      </x:c>
      <x:c r="E5" s="55" t="str">
        <x:v>Symbol</x:v>
      </x:c>
    </x:row>
    <x:row r="6" ht="42" customHeight="1">
      <x:c r="A6" s="38" t="str">
        <x:v>Project ID</x:v>
      </x:c>
      <x:c r="B6" s="36"/>
      <x:c r="C6" s="36" t="str">
        <x:v>ID</x:v>
      </x:c>
      <x:c r="D6" s="36" t="str">
        <x:v>Controlled identity</x:v>
      </x:c>
      <x:c r="E6" s="55"/>
    </x:row>
    <x:row r="7" ht="42" customHeight="1">
      <x:c r="A7" s="38" t="str">
        <x:v>NVEU category</x:v>
      </x:c>
      <x:c r="B7" s="36"/>
      <x:c r="C7" s="36" t="str">
        <x:v>Category ID</x:v>
      </x:c>
      <x:c r="D7" s="36" t="str">
        <x:v>U-01; no category is assigned here.</x:v>
      </x:c>
      <x:c r="E7" s="55"/>
    </x:row>
    <x:row r="8" ht="42" customHeight="1">
      <x:c r="A8" s="38" t="str">
        <x:v>Denomination d_u</x:v>
      </x:c>
      <x:c r="B8" s="36"/>
      <x:c r="C8" s="36" t="str">
        <x:v>t CO2e / NVEU</x:v>
      </x:c>
      <x:c r="D8" s="36" t="str">
        <x:v>Positive value only with an approved carbon-denominated category.</x:v>
      </x:c>
      <x:c r="E8" s="55" t="str">
        <x:v>d_u</x:v>
      </x:c>
    </x:row>
    <x:row r="9" ht="42" customHeight="1">
      <x:c r="A9" s="38" t="str">
        <x:v>Standard version</x:v>
      </x:c>
      <x:c r="B9" s="36" t="str">
        <x:v>0.8.2</x:v>
      </x:c>
      <x:c r="C9" s="36" t="str">
        <x:v>version</x:v>
      </x:c>
      <x:c r="D9" s="36" t="str">
        <x:v>NEBIOT Standard</x:v>
      </x:c>
      <x:c r="E9" s="55"/>
    </x:row>
    <x:row r="10" ht="42" customHeight="1">
      <x:c r="A10" s="38" t="str">
        <x:v>FRM-05 record</x:v>
      </x:c>
      <x:c r="B10" s="36"/>
      <x:c r="C10" s="36" t="str">
        <x:v>evidence ID</x:v>
      </x:c>
      <x:c r="D10" s="36" t="str">
        <x:v>Applicable AP-01–AP-12 decisions.</x:v>
      </x:c>
      <x:c r="E10" s="55"/>
    </x:row>
    <x:row r="11" ht="42" customHeight="1">
      <x:c r="A11" s="38" t="str">
        <x:v>Evidence cutoff</x:v>
      </x:c>
      <x:c r="B11" s="36"/>
      <x:c r="C11" s="36" t="str">
        <x:v>YYYY-MM-DD</x:v>
      </x:c>
      <x:c r="D11" s="36" t="str">
        <x:v>Not the beginning of every observation.</x:v>
      </x:c>
      <x:c r="E11" s="55"/>
    </x:row>
    <x:row r="12" ht="42" customHeight="1">
      <x:c r="A12" s="38" t="str">
        <x:v>Negative-result rule</x:v>
      </x:c>
      <x:c r="B12" s="36"/>
      <x:c r="C12" s="36" t="str">
        <x:v>FULL_BOUND / OTHER_PROFILE</x:v>
      </x:c>
      <x:c r="D12" s="36" t="str">
        <x:v>FULL_BOUND means the expressly adopted F-R05 profile; otherwise use a separate qualified recurrence.</x:v>
      </x:c>
      <x:c r="E12" s="55"/>
    </x:row>
    <x:row r="13" ht="42" customHeight="1">
      <x:c r="A13" s="38" t="str">
        <x:v>Negative-rule approval</x:v>
      </x:c>
      <x:c r="B13" s="36"/>
      <x:c r="C13" s="36" t="str">
        <x:v>evidence ID</x:v>
      </x:c>
      <x:c r="D13" s="36" t="str">
        <x:v>AP-09 with AP-08/AP-10; effective scope and transition.</x:v>
      </x:c>
      <x:c r="E13" s="55"/>
    </x:row>
    <x:row r="14" ht="42" customHeight="1">
      <x:c r="A14" s="38" t="str">
        <x:v>Account category unit</x:v>
      </x:c>
      <x:c r="B14" s="36" t="str">
        <x:v>t CO2e</x:v>
      </x:c>
      <x:c r="C14" s="36" t="str">
        <x:v>mass / period</x:v>
      </x:c>
      <x:c r="D14" s="36" t="str">
        <x:v>The computational account is limited to compatible carbon quantities.</x:v>
      </x:c>
      <x:c r="E14" s="55"/>
    </x:row>
    <x:row r="15" ht="42" customHeight="1">
      <x:c r="A15" s="38" t="str">
        <x:v>Square meters per hectare</x:v>
      </x:c>
      <x:c r="B15" s="36" t="n">
        <x:v>10000</x:v>
      </x:c>
      <x:c r="C15" s="36" t="str">
        <x:v>m2 / ha</x:v>
      </x:c>
      <x:c r="D15" s="36" t="str">
        <x:v>Exact unit conversion; not spatial accuracy.</x:v>
      </x:c>
      <x:c r="E15" s="55" t="str">
        <x:v>k_A</x:v>
      </x:c>
    </x:row>
    <x:row r="16" ht="42" customHeight="1">
      <x:c r="A16" s="38" t="str">
        <x:v>CO2 / C mass ratio</x:v>
      </x:c>
      <x:c r="B16" s="36" t="n">
        <x:f>44/12</x:f>
        <x:v>3.6666666666666665</x:v>
      </x:c>
      <x:c r="C16" s="36" t="str">
        <x:v>44 / 12</x:v>
      </x:c>
      <x:c r="D16" s="36" t="str">
        <x:v>CO2 mass equivalent of elemental carbon; not a GWP and not an emission event.</x:v>
      </x:c>
      <x:c r="E16" s="55" t="str">
        <x:v>k_C = 44/12</x:v>
      </x:c>
    </x:row>
    <x:row r="17" ht="42" customHeight="1">
      <x:c r="A17" s="38" t="str">
        <x:v>GWP convention reference</x:v>
      </x:c>
      <x:c r="B17" s="36"/>
      <x:c r="C17" s="36" t="str">
        <x:v>AP-07</x:v>
      </x:c>
      <x:c r="D17" s="36" t="str">
        <x:v>Characterize non-CO2 gases upstream under the adopted horizon.</x:v>
      </x:c>
      <x:c r="E17" s="55"/>
    </x:row>
    <x:row r="18" ht="42" customHeight="1">
      <x:c r="A18" s="38" t="str">
        <x:v>Arithmetic tolerance</x:v>
      </x:c>
      <x:c r="B18" s="36" t="n">
        <x:v>1e-8</x:v>
      </x:c>
      <x:c r="C18" s="36" t="str">
        <x:v>absolute units</x:v>
      </x:c>
      <x:c r="D18" s="36" t="str">
        <x:v>Software residual test only; not materiality, confidence or measurement precision.</x:v>
      </x:c>
      <x:c r="E18" s="55" t="str">
        <x:v>epsilon_a</x:v>
      </x:c>
    </x:row>
    <x:row r="19" ht="42" customHeight="1">
      <x:c r="A19" s="38" t="str">
        <x:v>Portfolio / boundary reference</x:v>
      </x:c>
      <x:c r="B19" s="36"/>
      <x:c r="C19" s="36" t="str">
        <x:v>evidence ID</x:v>
      </x:c>
      <x:c r="D19" s="36" t="str">
        <x:v>Same support for the matched accounts.</x:v>
      </x:c>
      <x:c r="E19" s="55"/>
    </x:row>
    <x:row r="20" ht="42" customHeight="1">
      <x:c r="A20" s="38"/>
      <x:c r="B20" s="36"/>
      <x:c r="C20" s="36"/>
      <x:c r="D20" s="36"/>
    </x:row>
    <x:row r="21" ht="42" customHeight="1">
      <x:c r="A21" s="38"/>
      <x:c r="B21" s="36"/>
      <x:c r="C21" s="36"/>
      <x:c r="D21" s="36"/>
    </x:row>
    <x:row r="22" ht="42" customHeight="1">
      <x:c r="A22" s="38"/>
      <x:c r="B22" s="36"/>
      <x:c r="C22" s="36"/>
      <x:c r="D22" s="36"/>
    </x:row>
    <x:row r="23" ht="42" customHeight="1">
      <x:c r="A23" s="38"/>
      <x:c r="B23" s="36"/>
      <x:c r="C23" s="36"/>
      <x:c r="D23" s="36"/>
    </x:row>
    <x:row r="24" ht="42" customHeight="1">
      <x:c r="A24" s="38"/>
      <x:c r="B24" s="36"/>
      <x:c r="C24" s="36"/>
      <x:c r="D24" s="36"/>
    </x:row>
    <x:row r="25" ht="42" customHeight="1">
      <x:c r="A25" s="38"/>
      <x:c r="B25" s="36"/>
      <x:c r="C25" s="36"/>
      <x:c r="D25" s="36"/>
    </x:row>
  </x:sheetData>
  <x:mergeCells>
    <x:mergeCell ref="A1:D2"/>
    <x:mergeCell ref="A3:D4"/>
  </x:mergeCells>
  <x:dataValidations count="1">
    <x:dataValidation type="list" sqref="B12">
      <x:formula1>"FULL_BOUND,OTHER_PROFILE"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5" hidden="0" customWidth="1"/>
    <x:col min="8" max="8" width="18" hidden="0" customWidth="1"/>
    <x:col min="9" max="9" width="18" hidden="0" customWidth="1"/>
    <x:col min="10" max="10" width="36" hidden="0" customWidth="1"/>
  </x:cols>
  <x:sheetData>
    <x:row r="1" ht="23" customHeight="1">
      <x:c r="A1" s="21" t="str">
        <x:v>Evidence register</x:v>
      </x:c>
      <x:c r="B1" s="21"/>
      <x:c r="C1" s="21"/>
      <x:c r="D1" s="21"/>
      <x:c r="E1" s="21"/>
      <x:c r="F1" s="21"/>
      <x:c r="G1" s="21"/>
      <x:c r="H1" s="21"/>
      <x:c r="I1" s="21"/>
      <x:c r="J1" s="21"/>
    </x:row>
    <x:row r="2" ht="23" customHeight="1">
      <x:c r="A2" s="21"/>
      <x:c r="B2" s="21"/>
      <x:c r="C2" s="21"/>
      <x:c r="D2" s="21"/>
      <x:c r="E2" s="21"/>
      <x:c r="F2" s="21"/>
      <x:c r="G2" s="21"/>
      <x:c r="H2" s="21"/>
      <x:c r="I2" s="21"/>
      <x:c r="J2" s="21"/>
    </x:row>
    <x:row r="3" ht="23" customHeight="1">
      <x:c r="A3" s="25" t="str">
        <x:v>Keep original workbooks separate. Record exact cells, formulas, transformations and evidence status.</x:v>
      </x:c>
      <x:c r="B3" s="25"/>
      <x:c r="C3" s="25"/>
      <x:c r="D3" s="25"/>
      <x:c r="E3" s="25"/>
      <x:c r="F3" s="25"/>
      <x:c r="G3" s="25"/>
      <x:c r="H3" s="25"/>
      <x:c r="I3" s="25"/>
      <x:c r="J3" s="25"/>
    </x:row>
    <x:row r="4" ht="23" customHeight="1">
      <x:c r="A4" s="25"/>
      <x:c r="B4" s="25"/>
      <x:c r="C4" s="25"/>
      <x:c r="D4" s="25"/>
      <x:c r="E4" s="25"/>
      <x:c r="F4" s="25"/>
      <x:c r="G4" s="25"/>
      <x:c r="H4" s="25"/>
      <x:c r="I4" s="25"/>
      <x:c r="J4" s="25"/>
    </x:row>
    <x:row r="5" ht="47" customHeight="1">
      <x:c r="A5" s="29" t="str">
        <x:v>Evidence ID</x:v>
      </x:c>
      <x:c r="B5" s="29" t="str">
        <x:v>Object / source</x:v>
      </x:c>
      <x:c r="C5" s="29" t="str">
        <x:v>Version / date</x:v>
      </x:c>
      <x:c r="D5" s="29" t="str">
        <x:v>State</x:v>
      </x:c>
      <x:c r="E5" s="29" t="str">
        <x:v>Spatial / temporal support</x:v>
      </x:c>
      <x:c r="F5" s="29" t="str">
        <x:v>Units / pools</x:v>
      </x:c>
      <x:c r="G5" s="29" t="str">
        <x:v>Exact file / sheet / cells</x:v>
      </x:c>
      <x:c r="H5" s="29" t="str">
        <x:v>Rights / access</x:v>
      </x:c>
      <x:c r="I5" s="29" t="str">
        <x:v>Reviewer / disposition</x:v>
      </x:c>
      <x:c r="J5" s="29" t="str">
        <x:v>Limitations</x:v>
      </x:c>
    </x:row>
    <x:row r="6" ht="23" customHeight="1">
      <x:c r="A6" s="38"/>
      <x:c r="B6" s="36"/>
      <x:c r="C6" s="36"/>
      <x:c r="D6" s="36"/>
      <x:c r="E6" s="36"/>
      <x:c r="F6" s="36"/>
      <x:c r="G6" s="36"/>
      <x:c r="H6" s="36"/>
      <x:c r="I6" s="36"/>
      <x:c r="J6" s="36"/>
    </x:row>
    <x:row r="7" ht="23" customHeight="1">
      <x:c r="A7" s="38"/>
      <x:c r="B7" s="36"/>
      <x:c r="C7" s="36"/>
      <x:c r="D7" s="36"/>
      <x:c r="E7" s="36"/>
      <x:c r="F7" s="36"/>
      <x:c r="G7" s="36"/>
      <x:c r="H7" s="36"/>
      <x:c r="I7" s="36"/>
      <x:c r="J7" s="36"/>
    </x:row>
    <x:row r="8" ht="23" customHeight="1">
      <x:c r="A8" s="38"/>
      <x:c r="B8" s="36"/>
      <x:c r="C8" s="36"/>
      <x:c r="D8" s="36"/>
      <x:c r="E8" s="36"/>
      <x:c r="F8" s="36"/>
      <x:c r="G8" s="36"/>
      <x:c r="H8" s="36"/>
      <x:c r="I8" s="36"/>
      <x:c r="J8" s="36"/>
    </x:row>
    <x:row r="9" ht="23" customHeight="1">
      <x:c r="A9" s="38"/>
      <x:c r="B9" s="36"/>
      <x:c r="C9" s="36"/>
      <x:c r="D9" s="36"/>
      <x:c r="E9" s="36"/>
      <x:c r="F9" s="36"/>
      <x:c r="G9" s="36"/>
      <x:c r="H9" s="36"/>
      <x:c r="I9" s="36"/>
      <x:c r="J9" s="36"/>
    </x:row>
    <x:row r="10" ht="23" customHeight="1">
      <x:c r="A10" s="38"/>
      <x:c r="B10" s="36"/>
      <x:c r="C10" s="36"/>
      <x:c r="D10" s="36"/>
      <x:c r="E10" s="36"/>
      <x:c r="F10" s="36"/>
      <x:c r="G10" s="36"/>
      <x:c r="H10" s="36"/>
      <x:c r="I10" s="36"/>
      <x:c r="J10" s="36"/>
    </x:row>
    <x:row r="11" ht="23" customHeight="1">
      <x:c r="A11" s="38"/>
      <x:c r="B11" s="36"/>
      <x:c r="C11" s="36"/>
      <x:c r="D11" s="36"/>
      <x:c r="E11" s="36"/>
      <x:c r="F11" s="36"/>
      <x:c r="G11" s="36"/>
      <x:c r="H11" s="36"/>
      <x:c r="I11" s="36"/>
      <x:c r="J11" s="36"/>
    </x:row>
    <x:row r="12" ht="23" customHeight="1">
      <x:c r="A12" s="38"/>
      <x:c r="B12" s="36"/>
      <x:c r="C12" s="36"/>
      <x:c r="D12" s="36"/>
      <x:c r="E12" s="36"/>
      <x:c r="F12" s="36"/>
      <x:c r="G12" s="36"/>
      <x:c r="H12" s="36"/>
      <x:c r="I12" s="36"/>
      <x:c r="J12" s="36"/>
    </x:row>
    <x:row r="13" ht="23" customHeight="1">
      <x:c r="A13" s="38"/>
      <x:c r="B13" s="36"/>
      <x:c r="C13" s="36"/>
      <x:c r="D13" s="36"/>
      <x:c r="E13" s="36"/>
      <x:c r="F13" s="36"/>
      <x:c r="G13" s="36"/>
      <x:c r="H13" s="36"/>
      <x:c r="I13" s="36"/>
      <x:c r="J13" s="36"/>
    </x:row>
    <x:row r="14" ht="23" customHeight="1">
      <x:c r="A14" s="38"/>
      <x:c r="B14" s="36"/>
      <x:c r="C14" s="36"/>
      <x:c r="D14" s="36"/>
      <x:c r="E14" s="36"/>
      <x:c r="F14" s="36"/>
      <x:c r="G14" s="36"/>
      <x:c r="H14" s="36"/>
      <x:c r="I14" s="36"/>
      <x:c r="J14" s="36"/>
    </x:row>
    <x:row r="15" ht="23" customHeight="1">
      <x:c r="A15" s="38"/>
      <x:c r="B15" s="36"/>
      <x:c r="C15" s="36"/>
      <x:c r="D15" s="36"/>
      <x:c r="E15" s="36"/>
      <x:c r="F15" s="36"/>
      <x:c r="G15" s="36"/>
      <x:c r="H15" s="36"/>
      <x:c r="I15" s="36"/>
      <x:c r="J15" s="36"/>
    </x:row>
    <x:row r="16" ht="23" customHeight="1">
      <x:c r="A16" s="38"/>
      <x:c r="B16" s="36"/>
      <x:c r="C16" s="36"/>
      <x:c r="D16" s="36"/>
      <x:c r="E16" s="36"/>
      <x:c r="F16" s="36"/>
      <x:c r="G16" s="36"/>
      <x:c r="H16" s="36"/>
      <x:c r="I16" s="36"/>
      <x:c r="J16" s="36"/>
    </x:row>
    <x:row r="17" ht="23" customHeight="1">
      <x:c r="A17" s="38"/>
      <x:c r="B17" s="36"/>
      <x:c r="C17" s="36"/>
      <x:c r="D17" s="36"/>
      <x:c r="E17" s="36"/>
      <x:c r="F17" s="36"/>
      <x:c r="G17" s="36"/>
      <x:c r="H17" s="36"/>
      <x:c r="I17" s="36"/>
      <x:c r="J17" s="36"/>
    </x:row>
    <x:row r="18" ht="23" customHeight="1">
      <x:c r="A18" s="38"/>
      <x:c r="B18" s="36"/>
      <x:c r="C18" s="36"/>
      <x:c r="D18" s="36"/>
      <x:c r="E18" s="36"/>
      <x:c r="F18" s="36"/>
      <x:c r="G18" s="36"/>
      <x:c r="H18" s="36"/>
      <x:c r="I18" s="36"/>
      <x:c r="J18" s="36"/>
    </x:row>
    <x:row r="19" ht="23" customHeight="1">
      <x:c r="A19" s="38"/>
      <x:c r="B19" s="36"/>
      <x:c r="C19" s="36"/>
      <x:c r="D19" s="36"/>
      <x:c r="E19" s="36"/>
      <x:c r="F19" s="36"/>
      <x:c r="G19" s="36"/>
      <x:c r="H19" s="36"/>
      <x:c r="I19" s="36"/>
      <x:c r="J19" s="36"/>
    </x:row>
    <x:row r="20" ht="23" customHeight="1">
      <x:c r="A20" s="38"/>
      <x:c r="B20" s="36"/>
      <x:c r="C20" s="36"/>
      <x:c r="D20" s="36"/>
      <x:c r="E20" s="36"/>
      <x:c r="F20" s="36"/>
      <x:c r="G20" s="36"/>
      <x:c r="H20" s="36"/>
      <x:c r="I20" s="36"/>
      <x:c r="J20" s="36"/>
    </x:row>
    <x:row r="21" ht="23" customHeight="1">
      <x:c r="A21" s="38"/>
      <x:c r="B21" s="36"/>
      <x:c r="C21" s="36"/>
      <x:c r="D21" s="36"/>
      <x:c r="E21" s="36"/>
      <x:c r="F21" s="36"/>
      <x:c r="G21" s="36"/>
      <x:c r="H21" s="36"/>
      <x:c r="I21" s="36"/>
      <x:c r="J21" s="36"/>
    </x:row>
    <x:row r="22" ht="23" customHeight="1">
      <x:c r="A22" s="38"/>
      <x:c r="B22" s="36"/>
      <x:c r="C22" s="36"/>
      <x:c r="D22" s="36"/>
      <x:c r="E22" s="36"/>
      <x:c r="F22" s="36"/>
      <x:c r="G22" s="36"/>
      <x:c r="H22" s="36"/>
      <x:c r="I22" s="36"/>
      <x:c r="J22" s="36"/>
    </x:row>
    <x:row r="23" ht="23" customHeight="1">
      <x:c r="A23" s="38"/>
      <x:c r="B23" s="36"/>
      <x:c r="C23" s="36"/>
      <x:c r="D23" s="36"/>
      <x:c r="E23" s="36"/>
      <x:c r="F23" s="36"/>
      <x:c r="G23" s="36"/>
      <x:c r="H23" s="36"/>
      <x:c r="I23" s="36"/>
      <x:c r="J23" s="36"/>
    </x:row>
    <x:row r="24" ht="23" customHeight="1">
      <x:c r="A24" s="38"/>
      <x:c r="B24" s="36"/>
      <x:c r="C24" s="36"/>
      <x:c r="D24" s="36"/>
      <x:c r="E24" s="36"/>
      <x:c r="F24" s="36"/>
      <x:c r="G24" s="36"/>
      <x:c r="H24" s="36"/>
      <x:c r="I24" s="36"/>
      <x:c r="J24" s="36"/>
    </x:row>
    <x:row r="25" ht="23" customHeight="1">
      <x:c r="A25" s="38"/>
      <x:c r="B25" s="36"/>
      <x:c r="C25" s="36"/>
      <x:c r="D25" s="36"/>
      <x:c r="E25" s="36"/>
      <x:c r="F25" s="36"/>
      <x:c r="G25" s="36"/>
      <x:c r="H25" s="36"/>
      <x:c r="I25" s="36"/>
      <x:c r="J25" s="36"/>
    </x:row>
    <x:row r="26" ht="23" customHeight="1">
      <x:c r="A26" s="38"/>
      <x:c r="B26" s="36"/>
      <x:c r="C26" s="36"/>
      <x:c r="D26" s="36"/>
      <x:c r="E26" s="36"/>
      <x:c r="F26" s="36"/>
      <x:c r="G26" s="36"/>
      <x:c r="H26" s="36"/>
      <x:c r="I26" s="36"/>
      <x:c r="J26" s="36"/>
    </x:row>
    <x:row r="27" ht="23" customHeight="1">
      <x:c r="A27" s="38"/>
      <x:c r="B27" s="36"/>
      <x:c r="C27" s="36"/>
      <x:c r="D27" s="36"/>
      <x:c r="E27" s="36"/>
      <x:c r="F27" s="36"/>
      <x:c r="G27" s="36"/>
      <x:c r="H27" s="36"/>
      <x:c r="I27" s="36"/>
      <x:c r="J27" s="36"/>
    </x:row>
    <x:row r="28" ht="23" customHeight="1">
      <x:c r="A28" s="38"/>
      <x:c r="B28" s="36"/>
      <x:c r="C28" s="36"/>
      <x:c r="D28" s="36"/>
      <x:c r="E28" s="36"/>
      <x:c r="F28" s="36"/>
      <x:c r="G28" s="36"/>
      <x:c r="H28" s="36"/>
      <x:c r="I28" s="36"/>
      <x:c r="J28" s="36"/>
    </x:row>
    <x:row r="29" ht="23" customHeight="1">
      <x:c r="A29" s="38"/>
      <x:c r="B29" s="36"/>
      <x:c r="C29" s="36"/>
      <x:c r="D29" s="36"/>
      <x:c r="E29" s="36"/>
      <x:c r="F29" s="36"/>
      <x:c r="G29" s="36"/>
      <x:c r="H29" s="36"/>
      <x:c r="I29" s="36"/>
      <x:c r="J29" s="36"/>
    </x:row>
    <x:row r="30" ht="23" customHeight="1">
      <x:c r="A30" s="38"/>
      <x:c r="B30" s="36"/>
      <x:c r="C30" s="36"/>
      <x:c r="D30" s="36"/>
      <x:c r="E30" s="36"/>
      <x:c r="F30" s="36"/>
      <x:c r="G30" s="36"/>
      <x:c r="H30" s="36"/>
      <x:c r="I30" s="36"/>
      <x:c r="J30" s="36"/>
    </x:row>
    <x:row r="31" ht="23" customHeight="1">
      <x:c r="A31" s="38"/>
      <x:c r="B31" s="36"/>
      <x:c r="C31" s="36"/>
      <x:c r="D31" s="36"/>
      <x:c r="E31" s="36"/>
      <x:c r="F31" s="36"/>
      <x:c r="G31" s="36"/>
      <x:c r="H31" s="36"/>
      <x:c r="I31" s="36"/>
      <x:c r="J31" s="36"/>
    </x:row>
    <x:row r="32" ht="23" customHeight="1">
      <x:c r="A32" s="38"/>
      <x:c r="B32" s="36"/>
      <x:c r="C32" s="36"/>
      <x:c r="D32" s="36"/>
      <x:c r="E32" s="36"/>
      <x:c r="F32" s="36"/>
      <x:c r="G32" s="36"/>
      <x:c r="H32" s="36"/>
      <x:c r="I32" s="36"/>
      <x:c r="J32" s="36"/>
    </x:row>
    <x:row r="33" ht="23" customHeight="1">
      <x:c r="A33" s="38"/>
      <x:c r="B33" s="36"/>
      <x:c r="C33" s="36"/>
      <x:c r="D33" s="36"/>
      <x:c r="E33" s="36"/>
      <x:c r="F33" s="36"/>
      <x:c r="G33" s="36"/>
      <x:c r="H33" s="36"/>
      <x:c r="I33" s="36"/>
      <x:c r="J33" s="36"/>
    </x:row>
    <x:row r="34" ht="23" customHeight="1">
      <x:c r="A34" s="38"/>
      <x:c r="B34" s="36"/>
      <x:c r="C34" s="36"/>
      <x:c r="D34" s="36"/>
      <x:c r="E34" s="36"/>
      <x:c r="F34" s="36"/>
      <x:c r="G34" s="36"/>
      <x:c r="H34" s="36"/>
      <x:c r="I34" s="36"/>
      <x:c r="J34" s="36"/>
    </x:row>
    <x:row r="35" ht="23" customHeight="1">
      <x:c r="A35" s="38"/>
      <x:c r="B35" s="36"/>
      <x:c r="C35" s="36"/>
      <x:c r="D35" s="36"/>
      <x:c r="E35" s="36"/>
      <x:c r="F35" s="36"/>
      <x:c r="G35" s="36"/>
      <x:c r="H35" s="36"/>
      <x:c r="I35" s="36"/>
      <x:c r="J35" s="36"/>
    </x:row>
    <x:row r="36" ht="23" customHeight="1">
      <x:c r="A36" s="38"/>
      <x:c r="B36" s="36"/>
      <x:c r="C36" s="36"/>
      <x:c r="D36" s="36"/>
      <x:c r="E36" s="36"/>
      <x:c r="F36" s="36"/>
      <x:c r="G36" s="36"/>
      <x:c r="H36" s="36"/>
      <x:c r="I36" s="36"/>
      <x:c r="J36" s="36"/>
    </x:row>
    <x:row r="37" ht="23" customHeight="1">
      <x:c r="A37" s="38"/>
      <x:c r="B37" s="36"/>
      <x:c r="C37" s="36"/>
      <x:c r="D37" s="36"/>
      <x:c r="E37" s="36"/>
      <x:c r="F37" s="36"/>
      <x:c r="G37" s="36"/>
      <x:c r="H37" s="36"/>
      <x:c r="I37" s="36"/>
      <x:c r="J37" s="36"/>
    </x:row>
    <x:row r="38" ht="23" customHeight="1">
      <x:c r="A38" s="38"/>
      <x:c r="B38" s="36"/>
      <x:c r="C38" s="36"/>
      <x:c r="D38" s="36"/>
      <x:c r="E38" s="36"/>
      <x:c r="F38" s="36"/>
      <x:c r="G38" s="36"/>
      <x:c r="H38" s="36"/>
      <x:c r="I38" s="36"/>
      <x:c r="J38" s="36"/>
    </x:row>
    <x:row r="39" ht="23" customHeight="1">
      <x:c r="A39" s="38"/>
      <x:c r="B39" s="36"/>
      <x:c r="C39" s="36"/>
      <x:c r="D39" s="36"/>
      <x:c r="E39" s="36"/>
      <x:c r="F39" s="36"/>
      <x:c r="G39" s="36"/>
      <x:c r="H39" s="36"/>
      <x:c r="I39" s="36"/>
      <x:c r="J39" s="36"/>
    </x:row>
    <x:row r="40" ht="23" customHeight="1">
      <x:c r="A40" s="38"/>
      <x:c r="B40" s="36"/>
      <x:c r="C40" s="36"/>
      <x:c r="D40" s="36"/>
      <x:c r="E40" s="36"/>
      <x:c r="F40" s="36"/>
      <x:c r="G40" s="36"/>
      <x:c r="H40" s="36"/>
      <x:c r="I40" s="36"/>
      <x:c r="J40" s="36"/>
    </x:row>
    <x:row r="41" ht="23" customHeight="1">
      <x:c r="A41" s="38"/>
      <x:c r="B41" s="36"/>
      <x:c r="C41" s="36"/>
      <x:c r="D41" s="36"/>
      <x:c r="E41" s="36"/>
      <x:c r="F41" s="36"/>
      <x:c r="G41" s="36"/>
      <x:c r="H41" s="36"/>
      <x:c r="I41" s="36"/>
      <x:c r="J41" s="36"/>
    </x:row>
    <x:row r="42" ht="23" customHeight="1">
      <x:c r="A42" s="38"/>
      <x:c r="B42" s="36"/>
      <x:c r="C42" s="36"/>
      <x:c r="D42" s="36"/>
      <x:c r="E42" s="36"/>
      <x:c r="F42" s="36"/>
      <x:c r="G42" s="36"/>
      <x:c r="H42" s="36"/>
      <x:c r="I42" s="36"/>
      <x:c r="J42" s="36"/>
    </x:row>
    <x:row r="43" ht="23" customHeight="1">
      <x:c r="A43" s="38"/>
      <x:c r="B43" s="36"/>
      <x:c r="C43" s="36"/>
      <x:c r="D43" s="36"/>
      <x:c r="E43" s="36"/>
      <x:c r="F43" s="36"/>
      <x:c r="G43" s="36"/>
      <x:c r="H43" s="36"/>
      <x:c r="I43" s="36"/>
      <x:c r="J43" s="36"/>
    </x:row>
    <x:row r="44" ht="23" customHeight="1">
      <x:c r="A44" s="38"/>
      <x:c r="B44" s="36"/>
      <x:c r="C44" s="36"/>
      <x:c r="D44" s="36"/>
      <x:c r="E44" s="36"/>
      <x:c r="F44" s="36"/>
      <x:c r="G44" s="36"/>
      <x:c r="H44" s="36"/>
      <x:c r="I44" s="36"/>
      <x:c r="J44" s="36"/>
    </x:row>
    <x:row r="45" ht="23" customHeight="1">
      <x:c r="A45" s="38"/>
      <x:c r="B45" s="36"/>
      <x:c r="C45" s="36"/>
      <x:c r="D45" s="36"/>
      <x:c r="E45" s="36"/>
      <x:c r="F45" s="36"/>
      <x:c r="G45" s="36"/>
      <x:c r="H45" s="36"/>
      <x:c r="I45" s="36"/>
      <x:c r="J45" s="36"/>
    </x:row>
    <x:row r="46" ht="23" customHeight="1">
      <x:c r="A46" s="38"/>
      <x:c r="B46" s="36"/>
      <x:c r="C46" s="36"/>
      <x:c r="D46" s="36"/>
      <x:c r="E46" s="36"/>
      <x:c r="F46" s="36"/>
      <x:c r="G46" s="36"/>
      <x:c r="H46" s="36"/>
      <x:c r="I46" s="36"/>
      <x:c r="J46" s="36"/>
    </x:row>
    <x:row r="47" ht="23" customHeight="1">
      <x:c r="A47" s="38"/>
      <x:c r="B47" s="36"/>
      <x:c r="C47" s="36"/>
      <x:c r="D47" s="36"/>
      <x:c r="E47" s="36"/>
      <x:c r="F47" s="36"/>
      <x:c r="G47" s="36"/>
      <x:c r="H47" s="36"/>
      <x:c r="I47" s="36"/>
      <x:c r="J47" s="36"/>
    </x:row>
    <x:row r="48" ht="23" customHeight="1">
      <x:c r="A48" s="38"/>
      <x:c r="B48" s="36"/>
      <x:c r="C48" s="36"/>
      <x:c r="D48" s="36"/>
      <x:c r="E48" s="36"/>
      <x:c r="F48" s="36"/>
      <x:c r="G48" s="36"/>
      <x:c r="H48" s="36"/>
      <x:c r="I48" s="36"/>
      <x:c r="J48" s="36"/>
    </x:row>
    <x:row r="49" ht="23" customHeight="1">
      <x:c r="A49" s="38"/>
      <x:c r="B49" s="36"/>
      <x:c r="C49" s="36"/>
      <x:c r="D49" s="36"/>
      <x:c r="E49" s="36"/>
      <x:c r="F49" s="36"/>
      <x:c r="G49" s="36"/>
      <x:c r="H49" s="36"/>
      <x:c r="I49" s="36"/>
      <x:c r="J49" s="36"/>
    </x:row>
    <x:row r="50" ht="23" customHeight="1">
      <x:c r="A50" s="38"/>
      <x:c r="B50" s="36"/>
      <x:c r="C50" s="36"/>
      <x:c r="D50" s="36"/>
      <x:c r="E50" s="36"/>
      <x:c r="F50" s="36"/>
      <x:c r="G50" s="36"/>
      <x:c r="H50" s="36"/>
      <x:c r="I50" s="36"/>
      <x:c r="J50" s="36"/>
    </x:row>
    <x:row r="51" ht="23" customHeight="1">
      <x:c r="A51" s="38"/>
      <x:c r="B51" s="36"/>
      <x:c r="C51" s="36"/>
      <x:c r="D51" s="36"/>
      <x:c r="E51" s="36"/>
      <x:c r="F51" s="36"/>
      <x:c r="G51" s="36"/>
      <x:c r="H51" s="36"/>
      <x:c r="I51" s="36"/>
      <x:c r="J51" s="36"/>
    </x:row>
    <x:row r="52" ht="23" customHeight="1">
      <x:c r="A52" s="38"/>
      <x:c r="B52" s="36"/>
      <x:c r="C52" s="36"/>
      <x:c r="D52" s="36"/>
      <x:c r="E52" s="36"/>
      <x:c r="F52" s="36"/>
      <x:c r="G52" s="36"/>
      <x:c r="H52" s="36"/>
      <x:c r="I52" s="36"/>
      <x:c r="J52" s="36"/>
    </x:row>
    <x:row r="53" ht="23" customHeight="1">
      <x:c r="A53" s="38"/>
      <x:c r="B53" s="36"/>
      <x:c r="C53" s="36"/>
      <x:c r="D53" s="36"/>
      <x:c r="E53" s="36"/>
      <x:c r="F53" s="36"/>
      <x:c r="G53" s="36"/>
      <x:c r="H53" s="36"/>
      <x:c r="I53" s="36"/>
      <x:c r="J53" s="36"/>
    </x:row>
    <x:row r="54" ht="23" customHeight="1">
      <x:c r="A54" s="38"/>
      <x:c r="B54" s="36"/>
      <x:c r="C54" s="36"/>
      <x:c r="D54" s="36"/>
      <x:c r="E54" s="36"/>
      <x:c r="F54" s="36"/>
      <x:c r="G54" s="36"/>
      <x:c r="H54" s="36"/>
      <x:c r="I54" s="36"/>
      <x:c r="J54" s="36"/>
    </x:row>
    <x:row r="55" ht="23" customHeight="1">
      <x:c r="A55" s="38"/>
      <x:c r="B55" s="36"/>
      <x:c r="C55" s="36"/>
      <x:c r="D55" s="36"/>
      <x:c r="E55" s="36"/>
      <x:c r="F55" s="36"/>
      <x:c r="G55" s="36"/>
      <x:c r="H55" s="36"/>
      <x:c r="I55" s="36"/>
      <x:c r="J55" s="36"/>
    </x:row>
    <x:row r="56" ht="23" customHeight="1">
      <x:c r="A56" s="38"/>
      <x:c r="B56" s="36"/>
      <x:c r="C56" s="36"/>
      <x:c r="D56" s="36"/>
      <x:c r="E56" s="36"/>
      <x:c r="F56" s="36"/>
      <x:c r="G56" s="36"/>
      <x:c r="H56" s="36"/>
      <x:c r="I56" s="36"/>
      <x:c r="J56" s="36"/>
    </x:row>
    <x:row r="57" ht="23" customHeight="1">
      <x:c r="A57" s="38"/>
      <x:c r="B57" s="36"/>
      <x:c r="C57" s="36"/>
      <x:c r="D57" s="36"/>
      <x:c r="E57" s="36"/>
      <x:c r="F57" s="36"/>
      <x:c r="G57" s="36"/>
      <x:c r="H57" s="36"/>
      <x:c r="I57" s="36"/>
      <x:c r="J57" s="36"/>
    </x:row>
    <x:row r="58" ht="23" customHeight="1">
      <x:c r="A58" s="38"/>
      <x:c r="B58" s="36"/>
      <x:c r="C58" s="36"/>
      <x:c r="D58" s="36"/>
      <x:c r="E58" s="36"/>
      <x:c r="F58" s="36"/>
      <x:c r="G58" s="36"/>
      <x:c r="H58" s="36"/>
      <x:c r="I58" s="36"/>
      <x:c r="J58" s="36"/>
    </x:row>
    <x:row r="59" ht="23" customHeight="1">
      <x:c r="A59" s="38"/>
      <x:c r="B59" s="36"/>
      <x:c r="C59" s="36"/>
      <x:c r="D59" s="36"/>
      <x:c r="E59" s="36"/>
      <x:c r="F59" s="36"/>
      <x:c r="G59" s="36"/>
      <x:c r="H59" s="36"/>
      <x:c r="I59" s="36"/>
      <x:c r="J59" s="36"/>
    </x:row>
    <x:row r="60" ht="23" customHeight="1">
      <x:c r="A60" s="38"/>
      <x:c r="B60" s="36"/>
      <x:c r="C60" s="36"/>
      <x:c r="D60" s="36"/>
      <x:c r="E60" s="36"/>
      <x:c r="F60" s="36"/>
      <x:c r="G60" s="36"/>
      <x:c r="H60" s="36"/>
      <x:c r="I60" s="36"/>
      <x:c r="J60" s="36"/>
    </x:row>
    <x:row r="61" ht="23" customHeight="1">
      <x:c r="A61" s="38"/>
      <x:c r="B61" s="36"/>
      <x:c r="C61" s="36"/>
      <x:c r="D61" s="36"/>
      <x:c r="E61" s="36"/>
      <x:c r="F61" s="36"/>
      <x:c r="G61" s="36"/>
      <x:c r="H61" s="36"/>
      <x:c r="I61" s="36"/>
      <x:c r="J61" s="36"/>
    </x:row>
    <x:row r="62" ht="23" customHeight="1">
      <x:c r="A62" s="38"/>
      <x:c r="B62" s="36"/>
      <x:c r="C62" s="36"/>
      <x:c r="D62" s="36"/>
      <x:c r="E62" s="36"/>
      <x:c r="F62" s="36"/>
      <x:c r="G62" s="36"/>
      <x:c r="H62" s="36"/>
      <x:c r="I62" s="36"/>
      <x:c r="J62" s="36"/>
    </x:row>
    <x:row r="63" ht="23" customHeight="1">
      <x:c r="A63" s="38"/>
      <x:c r="B63" s="36"/>
      <x:c r="C63" s="36"/>
      <x:c r="D63" s="36"/>
      <x:c r="E63" s="36"/>
      <x:c r="F63" s="36"/>
      <x:c r="G63" s="36"/>
      <x:c r="H63" s="36"/>
      <x:c r="I63" s="36"/>
      <x:c r="J63" s="36"/>
    </x:row>
    <x:row r="64" ht="23" customHeight="1">
      <x:c r="A64" s="38"/>
      <x:c r="B64" s="36"/>
      <x:c r="C64" s="36"/>
      <x:c r="D64" s="36"/>
      <x:c r="E64" s="36"/>
      <x:c r="F64" s="36"/>
      <x:c r="G64" s="36"/>
      <x:c r="H64" s="36"/>
      <x:c r="I64" s="36"/>
      <x:c r="J64" s="36"/>
    </x:row>
    <x:row r="65" ht="23" customHeight="1">
      <x:c r="A65" s="38"/>
      <x:c r="B65" s="36"/>
      <x:c r="C65" s="36"/>
      <x:c r="D65" s="36"/>
      <x:c r="E65" s="36"/>
      <x:c r="F65" s="36"/>
      <x:c r="G65" s="36"/>
      <x:c r="H65" s="36"/>
      <x:c r="I65" s="36"/>
      <x:c r="J65" s="36"/>
    </x:row>
    <x:row r="66" ht="23" customHeight="1">
      <x:c r="A66" s="38"/>
      <x:c r="B66" s="36"/>
      <x:c r="C66" s="36"/>
      <x:c r="D66" s="36"/>
      <x:c r="E66" s="36"/>
      <x:c r="F66" s="36"/>
      <x:c r="G66" s="36"/>
      <x:c r="H66" s="36"/>
      <x:c r="I66" s="36"/>
      <x:c r="J66" s="36"/>
    </x:row>
    <x:row r="67" ht="23" customHeight="1">
      <x:c r="A67" s="38"/>
      <x:c r="B67" s="36"/>
      <x:c r="C67" s="36"/>
      <x:c r="D67" s="36"/>
      <x:c r="E67" s="36"/>
      <x:c r="F67" s="36"/>
      <x:c r="G67" s="36"/>
      <x:c r="H67" s="36"/>
      <x:c r="I67" s="36"/>
      <x:c r="J67" s="36"/>
    </x:row>
    <x:row r="68" ht="23" customHeight="1">
      <x:c r="A68" s="38"/>
      <x:c r="B68" s="36"/>
      <x:c r="C68" s="36"/>
      <x:c r="D68" s="36"/>
      <x:c r="E68" s="36"/>
      <x:c r="F68" s="36"/>
      <x:c r="G68" s="36"/>
      <x:c r="H68" s="36"/>
      <x:c r="I68" s="36"/>
      <x:c r="J68" s="36"/>
    </x:row>
    <x:row r="69" ht="23" customHeight="1">
      <x:c r="A69" s="38"/>
      <x:c r="B69" s="36"/>
      <x:c r="C69" s="36"/>
      <x:c r="D69" s="36"/>
      <x:c r="E69" s="36"/>
      <x:c r="F69" s="36"/>
      <x:c r="G69" s="36"/>
      <x:c r="H69" s="36"/>
      <x:c r="I69" s="36"/>
      <x:c r="J69" s="36"/>
    </x:row>
    <x:row r="70" ht="23" customHeight="1">
      <x:c r="A70" s="38"/>
      <x:c r="B70" s="36"/>
      <x:c r="C70" s="36"/>
      <x:c r="D70" s="36"/>
      <x:c r="E70" s="36"/>
      <x:c r="F70" s="36"/>
      <x:c r="G70" s="36"/>
      <x:c r="H70" s="36"/>
      <x:c r="I70" s="36"/>
      <x:c r="J70" s="36"/>
    </x:row>
    <x:row r="71" ht="23" customHeight="1">
      <x:c r="A71" s="38"/>
      <x:c r="B71" s="36"/>
      <x:c r="C71" s="36"/>
      <x:c r="D71" s="36"/>
      <x:c r="E71" s="36"/>
      <x:c r="F71" s="36"/>
      <x:c r="G71" s="36"/>
      <x:c r="H71" s="36"/>
      <x:c r="I71" s="36"/>
      <x:c r="J71" s="36"/>
    </x:row>
    <x:row r="72" ht="23" customHeight="1">
      <x:c r="A72" s="38"/>
      <x:c r="B72" s="36"/>
      <x:c r="C72" s="36"/>
      <x:c r="D72" s="36"/>
      <x:c r="E72" s="36"/>
      <x:c r="F72" s="36"/>
      <x:c r="G72" s="36"/>
      <x:c r="H72" s="36"/>
      <x:c r="I72" s="36"/>
      <x:c r="J72" s="36"/>
    </x:row>
    <x:row r="73" ht="23" customHeight="1">
      <x:c r="A73" s="38"/>
      <x:c r="B73" s="36"/>
      <x:c r="C73" s="36"/>
      <x:c r="D73" s="36"/>
      <x:c r="E73" s="36"/>
      <x:c r="F73" s="36"/>
      <x:c r="G73" s="36"/>
      <x:c r="H73" s="36"/>
      <x:c r="I73" s="36"/>
      <x:c r="J73" s="36"/>
    </x:row>
    <x:row r="74" ht="23" customHeight="1">
      <x:c r="A74" s="38"/>
      <x:c r="B74" s="36"/>
      <x:c r="C74" s="36"/>
      <x:c r="D74" s="36"/>
      <x:c r="E74" s="36"/>
      <x:c r="F74" s="36"/>
      <x:c r="G74" s="36"/>
      <x:c r="H74" s="36"/>
      <x:c r="I74" s="36"/>
      <x:c r="J74" s="36"/>
    </x:row>
    <x:row r="75" ht="23" customHeight="1">
      <x:c r="A75" s="38"/>
      <x:c r="B75" s="36"/>
      <x:c r="C75" s="36"/>
      <x:c r="D75" s="36"/>
      <x:c r="E75" s="36"/>
      <x:c r="F75" s="36"/>
      <x:c r="G75" s="36"/>
      <x:c r="H75" s="36"/>
      <x:c r="I75" s="36"/>
      <x:c r="J75" s="36"/>
    </x:row>
    <x:row r="76" ht="23" customHeight="1">
      <x:c r="A76" s="38"/>
      <x:c r="B76" s="36"/>
      <x:c r="C76" s="36"/>
      <x:c r="D76" s="36"/>
      <x:c r="E76" s="36"/>
      <x:c r="F76" s="36"/>
      <x:c r="G76" s="36"/>
      <x:c r="H76" s="36"/>
      <x:c r="I76" s="36"/>
      <x:c r="J76" s="36"/>
    </x:row>
    <x:row r="77" ht="23" customHeight="1">
      <x:c r="A77" s="38"/>
      <x:c r="B77" s="36"/>
      <x:c r="C77" s="36"/>
      <x:c r="D77" s="36"/>
      <x:c r="E77" s="36"/>
      <x:c r="F77" s="36"/>
      <x:c r="G77" s="36"/>
      <x:c r="H77" s="36"/>
      <x:c r="I77" s="36"/>
      <x:c r="J77" s="36"/>
    </x:row>
    <x:row r="78" ht="23" customHeight="1">
      <x:c r="A78" s="38"/>
      <x:c r="B78" s="36"/>
      <x:c r="C78" s="36"/>
      <x:c r="D78" s="36"/>
      <x:c r="E78" s="36"/>
      <x:c r="F78" s="36"/>
      <x:c r="G78" s="36"/>
      <x:c r="H78" s="36"/>
      <x:c r="I78" s="36"/>
      <x:c r="J78" s="36"/>
    </x:row>
    <x:row r="79" ht="23" customHeight="1">
      <x:c r="A79" s="38"/>
      <x:c r="B79" s="36"/>
      <x:c r="C79" s="36"/>
      <x:c r="D79" s="36"/>
      <x:c r="E79" s="36"/>
      <x:c r="F79" s="36"/>
      <x:c r="G79" s="36"/>
      <x:c r="H79" s="36"/>
      <x:c r="I79" s="36"/>
      <x:c r="J79" s="36"/>
    </x:row>
    <x:row r="80" ht="23" customHeight="1">
      <x:c r="A80" s="38"/>
      <x:c r="B80" s="36"/>
      <x:c r="C80" s="36"/>
      <x:c r="D80" s="36"/>
      <x:c r="E80" s="36"/>
      <x:c r="F80" s="36"/>
      <x:c r="G80" s="36"/>
      <x:c r="H80" s="36"/>
      <x:c r="I80" s="36"/>
      <x:c r="J80" s="36"/>
    </x:row>
    <x:row r="81" ht="23" customHeight="1">
      <x:c r="A81" s="38"/>
      <x:c r="B81" s="36"/>
      <x:c r="C81" s="36"/>
      <x:c r="D81" s="36"/>
      <x:c r="E81" s="36"/>
      <x:c r="F81" s="36"/>
      <x:c r="G81" s="36"/>
      <x:c r="H81" s="36"/>
      <x:c r="I81" s="36"/>
      <x:c r="J81" s="36"/>
    </x:row>
    <x:row r="82" ht="23" customHeight="1">
      <x:c r="A82" s="38"/>
      <x:c r="B82" s="36"/>
      <x:c r="C82" s="36"/>
      <x:c r="D82" s="36"/>
      <x:c r="E82" s="36"/>
      <x:c r="F82" s="36"/>
      <x:c r="G82" s="36"/>
      <x:c r="H82" s="36"/>
      <x:c r="I82" s="36"/>
      <x:c r="J82" s="36"/>
    </x:row>
    <x:row r="83" ht="23" customHeight="1">
      <x:c r="A83" s="38"/>
      <x:c r="B83" s="36"/>
      <x:c r="C83" s="36"/>
      <x:c r="D83" s="36"/>
      <x:c r="E83" s="36"/>
      <x:c r="F83" s="36"/>
      <x:c r="G83" s="36"/>
      <x:c r="H83" s="36"/>
      <x:c r="I83" s="36"/>
      <x:c r="J83" s="36"/>
    </x:row>
    <x:row r="84" ht="23" customHeight="1">
      <x:c r="A84" s="38"/>
      <x:c r="B84" s="36"/>
      <x:c r="C84" s="36"/>
      <x:c r="D84" s="36"/>
      <x:c r="E84" s="36"/>
      <x:c r="F84" s="36"/>
      <x:c r="G84" s="36"/>
      <x:c r="H84" s="36"/>
      <x:c r="I84" s="36"/>
      <x:c r="J84" s="36"/>
    </x:row>
    <x:row r="85" ht="23" customHeight="1">
      <x:c r="A85" s="38"/>
      <x:c r="B85" s="36"/>
      <x:c r="C85" s="36"/>
      <x:c r="D85" s="36"/>
      <x:c r="E85" s="36"/>
      <x:c r="F85" s="36"/>
      <x:c r="G85" s="36"/>
      <x:c r="H85" s="36"/>
      <x:c r="I85" s="36"/>
      <x:c r="J85" s="36"/>
    </x:row>
    <x:row r="86" ht="23" customHeight="1">
      <x:c r="A86" s="38"/>
      <x:c r="B86" s="36"/>
      <x:c r="C86" s="36"/>
      <x:c r="D86" s="36"/>
      <x:c r="E86" s="36"/>
      <x:c r="F86" s="36"/>
      <x:c r="G86" s="36"/>
      <x:c r="H86" s="36"/>
      <x:c r="I86" s="36"/>
      <x:c r="J86" s="36"/>
    </x:row>
    <x:row r="87" ht="23" customHeight="1">
      <x:c r="A87" s="38"/>
      <x:c r="B87" s="36"/>
      <x:c r="C87" s="36"/>
      <x:c r="D87" s="36"/>
      <x:c r="E87" s="36"/>
      <x:c r="F87" s="36"/>
      <x:c r="G87" s="36"/>
      <x:c r="H87" s="36"/>
      <x:c r="I87" s="36"/>
      <x:c r="J87" s="36"/>
    </x:row>
    <x:row r="88" ht="23" customHeight="1">
      <x:c r="A88" s="38"/>
      <x:c r="B88" s="36"/>
      <x:c r="C88" s="36"/>
      <x:c r="D88" s="36"/>
      <x:c r="E88" s="36"/>
      <x:c r="F88" s="36"/>
      <x:c r="G88" s="36"/>
      <x:c r="H88" s="36"/>
      <x:c r="I88" s="36"/>
      <x:c r="J88" s="36"/>
    </x:row>
    <x:row r="89" ht="23" customHeight="1">
      <x:c r="A89" s="38"/>
      <x:c r="B89" s="36"/>
      <x:c r="C89" s="36"/>
      <x:c r="D89" s="36"/>
      <x:c r="E89" s="36"/>
      <x:c r="F89" s="36"/>
      <x:c r="G89" s="36"/>
      <x:c r="H89" s="36"/>
      <x:c r="I89" s="36"/>
      <x:c r="J89" s="36"/>
    </x:row>
    <x:row r="90" ht="23" customHeight="1">
      <x:c r="A90" s="38"/>
      <x:c r="B90" s="36"/>
      <x:c r="C90" s="36"/>
      <x:c r="D90" s="36"/>
      <x:c r="E90" s="36"/>
      <x:c r="F90" s="36"/>
      <x:c r="G90" s="36"/>
      <x:c r="H90" s="36"/>
      <x:c r="I90" s="36"/>
      <x:c r="J90" s="36"/>
    </x:row>
    <x:row r="91" ht="23" customHeight="1">
      <x:c r="A91" s="38"/>
      <x:c r="B91" s="36"/>
      <x:c r="C91" s="36"/>
      <x:c r="D91" s="36"/>
      <x:c r="E91" s="36"/>
      <x:c r="F91" s="36"/>
      <x:c r="G91" s="36"/>
      <x:c r="H91" s="36"/>
      <x:c r="I91" s="36"/>
      <x:c r="J91" s="36"/>
    </x:row>
    <x:row r="92" ht="23" customHeight="1">
      <x:c r="A92" s="38"/>
      <x:c r="B92" s="36"/>
      <x:c r="C92" s="36"/>
      <x:c r="D92" s="36"/>
      <x:c r="E92" s="36"/>
      <x:c r="F92" s="36"/>
      <x:c r="G92" s="36"/>
      <x:c r="H92" s="36"/>
      <x:c r="I92" s="36"/>
      <x:c r="J92" s="36"/>
    </x:row>
    <x:row r="93" ht="23" customHeight="1">
      <x:c r="A93" s="38"/>
      <x:c r="B93" s="36"/>
      <x:c r="C93" s="36"/>
      <x:c r="D93" s="36"/>
      <x:c r="E93" s="36"/>
      <x:c r="F93" s="36"/>
      <x:c r="G93" s="36"/>
      <x:c r="H93" s="36"/>
      <x:c r="I93" s="36"/>
      <x:c r="J93" s="36"/>
    </x:row>
    <x:row r="94" ht="23" customHeight="1">
      <x:c r="A94" s="38"/>
      <x:c r="B94" s="36"/>
      <x:c r="C94" s="36"/>
      <x:c r="D94" s="36"/>
      <x:c r="E94" s="36"/>
      <x:c r="F94" s="36"/>
      <x:c r="G94" s="36"/>
      <x:c r="H94" s="36"/>
      <x:c r="I94" s="36"/>
      <x:c r="J94" s="36"/>
    </x:row>
    <x:row r="95" ht="23" customHeight="1">
      <x:c r="A95" s="38"/>
      <x:c r="B95" s="36"/>
      <x:c r="C95" s="36"/>
      <x:c r="D95" s="36"/>
      <x:c r="E95" s="36"/>
      <x:c r="F95" s="36"/>
      <x:c r="G95" s="36"/>
      <x:c r="H95" s="36"/>
      <x:c r="I95" s="36"/>
      <x:c r="J95" s="36"/>
    </x:row>
    <x:row r="96" ht="23" customHeight="1">
      <x:c r="A96" s="38"/>
      <x:c r="B96" s="36"/>
      <x:c r="C96" s="36"/>
      <x:c r="D96" s="36"/>
      <x:c r="E96" s="36"/>
      <x:c r="F96" s="36"/>
      <x:c r="G96" s="36"/>
      <x:c r="H96" s="36"/>
      <x:c r="I96" s="36"/>
      <x:c r="J96" s="36"/>
    </x:row>
    <x:row r="97" ht="23" customHeight="1">
      <x:c r="A97" s="38"/>
      <x:c r="B97" s="36"/>
      <x:c r="C97" s="36"/>
      <x:c r="D97" s="36"/>
      <x:c r="E97" s="36"/>
      <x:c r="F97" s="36"/>
      <x:c r="G97" s="36"/>
      <x:c r="H97" s="36"/>
      <x:c r="I97" s="36"/>
      <x:c r="J97" s="36"/>
    </x:row>
    <x:row r="98" ht="23" customHeight="1">
      <x:c r="A98" s="38"/>
      <x:c r="B98" s="36"/>
      <x:c r="C98" s="36"/>
      <x:c r="D98" s="36"/>
      <x:c r="E98" s="36"/>
      <x:c r="F98" s="36"/>
      <x:c r="G98" s="36"/>
      <x:c r="H98" s="36"/>
      <x:c r="I98" s="36"/>
      <x:c r="J98" s="36"/>
    </x:row>
    <x:row r="99" ht="23" customHeight="1">
      <x:c r="A99" s="38"/>
      <x:c r="B99" s="36"/>
      <x:c r="C99" s="36"/>
      <x:c r="D99" s="36"/>
      <x:c r="E99" s="36"/>
      <x:c r="F99" s="36"/>
      <x:c r="G99" s="36"/>
      <x:c r="H99" s="36"/>
      <x:c r="I99" s="36"/>
      <x:c r="J99" s="36"/>
    </x:row>
    <x:row r="100" ht="23" customHeight="1">
      <x:c r="A100" s="38"/>
      <x:c r="B100" s="36"/>
      <x:c r="C100" s="36"/>
      <x:c r="D100" s="36"/>
      <x:c r="E100" s="36"/>
      <x:c r="F100" s="36"/>
      <x:c r="G100" s="36"/>
      <x:c r="H100" s="36"/>
      <x:c r="I100" s="36"/>
      <x:c r="J100" s="36"/>
    </x:row>
    <x:row r="101" ht="23" customHeight="1">
      <x:c r="A101" s="38"/>
      <x:c r="B101" s="36"/>
      <x:c r="C101" s="36"/>
      <x:c r="D101" s="36"/>
      <x:c r="E101" s="36"/>
      <x:c r="F101" s="36"/>
      <x:c r="G101" s="36"/>
      <x:c r="H101" s="36"/>
      <x:c r="I101" s="36"/>
      <x:c r="J101" s="36"/>
    </x:row>
    <x:row r="102" ht="23" customHeight="1">
      <x:c r="A102" s="38"/>
      <x:c r="B102" s="36"/>
      <x:c r="C102" s="36"/>
      <x:c r="D102" s="36"/>
      <x:c r="E102" s="36"/>
      <x:c r="F102" s="36"/>
      <x:c r="G102" s="36"/>
      <x:c r="H102" s="36"/>
      <x:c r="I102" s="36"/>
      <x:c r="J102" s="36"/>
    </x:row>
    <x:row r="103" ht="23" customHeight="1">
      <x:c r="A103" s="38"/>
      <x:c r="B103" s="36"/>
      <x:c r="C103" s="36"/>
      <x:c r="D103" s="36"/>
      <x:c r="E103" s="36"/>
      <x:c r="F103" s="36"/>
      <x:c r="G103" s="36"/>
      <x:c r="H103" s="36"/>
      <x:c r="I103" s="36"/>
      <x:c r="J103" s="36"/>
    </x:row>
    <x:row r="104" ht="23" customHeight="1">
      <x:c r="A104" s="38"/>
      <x:c r="B104" s="36"/>
      <x:c r="C104" s="36"/>
      <x:c r="D104" s="36"/>
      <x:c r="E104" s="36"/>
      <x:c r="F104" s="36"/>
      <x:c r="G104" s="36"/>
      <x:c r="H104" s="36"/>
      <x:c r="I104" s="36"/>
      <x:c r="J104" s="36"/>
    </x:row>
    <x:row r="105" ht="23" customHeight="1">
      <x:c r="A105" s="38"/>
      <x:c r="B105" s="36"/>
      <x:c r="C105" s="36"/>
      <x:c r="D105" s="36"/>
      <x:c r="E105" s="36"/>
      <x:c r="F105" s="36"/>
      <x:c r="G105" s="36"/>
      <x:c r="H105" s="36"/>
      <x:c r="I105" s="36"/>
      <x:c r="J105" s="36"/>
    </x:row>
  </x:sheetData>
  <x:mergeCells>
    <x:mergeCell ref="A1:J2"/>
    <x:mergeCell ref="A3:J4"/>
  </x:mergeCells>
  <x:dataValidations count="1">
    <x:dataValidation type="list" sqref="D6:D105">
      <x:formula1>"OBSERVED,MODELED,ASSUMED,REPORTED,OVV_ASSESSED"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Spatial measures and transitions</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Cell area is an input, not a fixed resolution. A net class-area change is not a gross transition. Raster area alone does not establish reference accuracy.</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Observation ID</x:v>
      </x:c>
      <x:c r="B5" s="29" t="str">
        <x:v>Scope / class / transition</x:v>
      </x:c>
      <x:c r="C5" s="29" t="str">
        <x:v>Start date</x:v>
      </x:c>
      <x:c r="D5" s="29" t="str">
        <x:v>End date</x:v>
      </x:c>
      <x:c r="E5" s="29" t="str">
        <x:v>Input mode</x:v>
      </x:c>
      <x:c r="F5" s="29" t="str">
        <x:v>Pixel count
n_i,t
[pixels]</x:v>
      </x:c>
      <x:c r="G5" s="29" t="str">
        <x:v>Cell area m2
a_cell
[m2]</x:v>
      </x:c>
      <x:c r="H5" s="29" t="str">
        <x:v>Direct area ha
A_i,t [input]
[ha]</x:v>
      </x:c>
      <x:c r="I5" s="29" t="str">
        <x:v>Calculated area ha
A_i,t
[ha]</x:v>
      </x:c>
      <x:c r="J5" s="29" t="str">
        <x:v>Quantity type</x:v>
      </x:c>
      <x:c r="K5" s="29" t="str">
        <x:v>Evidence ID</x:v>
      </x:c>
      <x:c r="L5" s="29" t="str">
        <x:v>Check</x:v>
      </x:c>
      <x:c r="M5"/>
      <x:c r="N5"/>
      <x:c r="O5"/>
      <x:c r="P5"/>
    </x:row>
    <x:row r="6" ht="23" customHeight="1">
      <x:c r="A6" s="38"/>
      <x:c r="B6" s="36"/>
      <x:c r="C6" s="36"/>
      <x:c r="D6" s="36"/>
      <x:c r="E6" s="36"/>
      <x:c r="F6" s="36"/>
      <x:c r="G6" s="36"/>
      <x:c r="H6" s="36"/>
      <x:c r="I6" s="41" t="str">
        <x:f>IF(A6="","",IF(E6="PIXELS",IF(COUNT(F6:G6)=2,IF(AND(F6&gt;=0,G6&gt;0),F6*G6/Profile!$B$15,""),""),IF(E6="AREA",IF(ISNUMBER(H6),H6,""),"")))</x:f>
      </x:c>
      <x:c r="J6" s="36"/>
      <x:c r="K6" s="36"/>
      <x:c r="L6" s="41" t="str">
        <x:f>IF(A6="","",IF(AND(ISNUMBER(I6),K6&lt;&gt;"",OR(J6="NET_CLASS_CHANGE",AND(OR(J6="GROSS_TRANSITION",J6="STOCK_AREA"),I6&gt;=0))),"COMPLETE","HOLD: INPUT / TYPE"))</x:f>
      </x:c>
    </x:row>
    <x:row r="7" ht="23" customHeight="1">
      <x:c r="A7" s="38"/>
      <x:c r="B7" s="36"/>
      <x:c r="C7" s="36"/>
      <x:c r="D7" s="36"/>
      <x:c r="E7" s="36"/>
      <x:c r="F7" s="36"/>
      <x:c r="G7" s="36"/>
      <x:c r="H7" s="36"/>
      <x:c r="I7" s="41" t="str">
        <x:f>IF(A7="","",IF(E7="PIXELS",IF(COUNT(F7:G7)=2,IF(AND(F7&gt;=0,G7&gt;0),F7*G7/Profile!$B$15,""),""),IF(E7="AREA",IF(ISNUMBER(H7),H7,""),"")))</x:f>
      </x:c>
      <x:c r="J7" s="36"/>
      <x:c r="K7" s="36"/>
      <x:c r="L7" s="41" t="str">
        <x:f>IF(A7="","",IF(AND(ISNUMBER(I7),K7&lt;&gt;"",OR(J7="NET_CLASS_CHANGE",AND(OR(J7="GROSS_TRANSITION",J7="STOCK_AREA"),I7&gt;=0))),"COMPLETE","HOLD: INPUT / TYPE"))</x:f>
      </x:c>
    </x:row>
    <x:row r="8" ht="23" customHeight="1">
      <x:c r="A8" s="38"/>
      <x:c r="B8" s="36"/>
      <x:c r="C8" s="36"/>
      <x:c r="D8" s="36"/>
      <x:c r="E8" s="36"/>
      <x:c r="F8" s="36"/>
      <x:c r="G8" s="36"/>
      <x:c r="H8" s="36"/>
      <x:c r="I8" s="41" t="str">
        <x:f>IF(A8="","",IF(E8="PIXELS",IF(COUNT(F8:G8)=2,IF(AND(F8&gt;=0,G8&gt;0),F8*G8/Profile!$B$15,""),""),IF(E8="AREA",IF(ISNUMBER(H8),H8,""),"")))</x:f>
      </x:c>
      <x:c r="J8" s="36"/>
      <x:c r="K8" s="36"/>
      <x:c r="L8" s="41" t="str">
        <x:f>IF(A8="","",IF(AND(ISNUMBER(I8),K8&lt;&gt;"",OR(J8="NET_CLASS_CHANGE",AND(OR(J8="GROSS_TRANSITION",J8="STOCK_AREA"),I8&gt;=0))),"COMPLETE","HOLD: INPUT / TYPE"))</x:f>
      </x:c>
    </x:row>
    <x:row r="9" ht="23" customHeight="1">
      <x:c r="A9" s="38"/>
      <x:c r="B9" s="36"/>
      <x:c r="C9" s="36"/>
      <x:c r="D9" s="36"/>
      <x:c r="E9" s="36"/>
      <x:c r="F9" s="36"/>
      <x:c r="G9" s="36"/>
      <x:c r="H9" s="36"/>
      <x:c r="I9" s="41" t="str">
        <x:f>IF(A9="","",IF(E9="PIXELS",IF(COUNT(F9:G9)=2,IF(AND(F9&gt;=0,G9&gt;0),F9*G9/Profile!$B$15,""),""),IF(E9="AREA",IF(ISNUMBER(H9),H9,""),"")))</x:f>
      </x:c>
      <x:c r="J9" s="36"/>
      <x:c r="K9" s="36"/>
      <x:c r="L9" s="41" t="str">
        <x:f>IF(A9="","",IF(AND(ISNUMBER(I9),K9&lt;&gt;"",OR(J9="NET_CLASS_CHANGE",AND(OR(J9="GROSS_TRANSITION",J9="STOCK_AREA"),I9&gt;=0))),"COMPLETE","HOLD: INPUT / TYPE"))</x:f>
      </x:c>
    </x:row>
    <x:row r="10" ht="23" customHeight="1">
      <x:c r="A10" s="38"/>
      <x:c r="B10" s="36"/>
      <x:c r="C10" s="36"/>
      <x:c r="D10" s="36"/>
      <x:c r="E10" s="36"/>
      <x:c r="F10" s="36"/>
      <x:c r="G10" s="36"/>
      <x:c r="H10" s="36"/>
      <x:c r="I10" s="41" t="str">
        <x:f>IF(A10="","",IF(E10="PIXELS",IF(COUNT(F10:G10)=2,IF(AND(F10&gt;=0,G10&gt;0),F10*G10/Profile!$B$15,""),""),IF(E10="AREA",IF(ISNUMBER(H10),H10,""),"")))</x:f>
      </x:c>
      <x:c r="J10" s="36"/>
      <x:c r="K10" s="36"/>
      <x:c r="L10" s="41" t="str">
        <x:f>IF(A10="","",IF(AND(ISNUMBER(I10),K10&lt;&gt;"",OR(J10="NET_CLASS_CHANGE",AND(OR(J10="GROSS_TRANSITION",J10="STOCK_AREA"),I10&gt;=0))),"COMPLETE","HOLD: INPUT / TYPE"))</x:f>
      </x:c>
    </x:row>
    <x:row r="11" ht="23" customHeight="1">
      <x:c r="A11" s="38"/>
      <x:c r="B11" s="36"/>
      <x:c r="C11" s="36"/>
      <x:c r="D11" s="36"/>
      <x:c r="E11" s="36"/>
      <x:c r="F11" s="36"/>
      <x:c r="G11" s="36"/>
      <x:c r="H11" s="36"/>
      <x:c r="I11" s="41" t="str">
        <x:f>IF(A11="","",IF(E11="PIXELS",IF(COUNT(F11:G11)=2,IF(AND(F11&gt;=0,G11&gt;0),F11*G11/Profile!$B$15,""),""),IF(E11="AREA",IF(ISNUMBER(H11),H11,""),"")))</x:f>
      </x:c>
      <x:c r="J11" s="36"/>
      <x:c r="K11" s="36"/>
      <x:c r="L11" s="41" t="str">
        <x:f>IF(A11="","",IF(AND(ISNUMBER(I11),K11&lt;&gt;"",OR(J11="NET_CLASS_CHANGE",AND(OR(J11="GROSS_TRANSITION",J11="STOCK_AREA"),I11&gt;=0))),"COMPLETE","HOLD: INPUT / TYPE"))</x:f>
      </x:c>
    </x:row>
    <x:row r="12" ht="23" customHeight="1">
      <x:c r="A12" s="38"/>
      <x:c r="B12" s="36"/>
      <x:c r="C12" s="36"/>
      <x:c r="D12" s="36"/>
      <x:c r="E12" s="36"/>
      <x:c r="F12" s="36"/>
      <x:c r="G12" s="36"/>
      <x:c r="H12" s="36"/>
      <x:c r="I12" s="41" t="str">
        <x:f>IF(A12="","",IF(E12="PIXELS",IF(COUNT(F12:G12)=2,IF(AND(F12&gt;=0,G12&gt;0),F12*G12/Profile!$B$15,""),""),IF(E12="AREA",IF(ISNUMBER(H12),H12,""),"")))</x:f>
      </x:c>
      <x:c r="J12" s="36"/>
      <x:c r="K12" s="36"/>
      <x:c r="L12" s="41" t="str">
        <x:f>IF(A12="","",IF(AND(ISNUMBER(I12),K12&lt;&gt;"",OR(J12="NET_CLASS_CHANGE",AND(OR(J12="GROSS_TRANSITION",J12="STOCK_AREA"),I12&gt;=0))),"COMPLETE","HOLD: INPUT / TYPE"))</x:f>
      </x:c>
    </x:row>
    <x:row r="13" ht="23" customHeight="1">
      <x:c r="A13" s="38"/>
      <x:c r="B13" s="36"/>
      <x:c r="C13" s="36"/>
      <x:c r="D13" s="36"/>
      <x:c r="E13" s="36"/>
      <x:c r="F13" s="36"/>
      <x:c r="G13" s="36"/>
      <x:c r="H13" s="36"/>
      <x:c r="I13" s="41" t="str">
        <x:f>IF(A13="","",IF(E13="PIXELS",IF(COUNT(F13:G13)=2,IF(AND(F13&gt;=0,G13&gt;0),F13*G13/Profile!$B$15,""),""),IF(E13="AREA",IF(ISNUMBER(H13),H13,""),"")))</x:f>
      </x:c>
      <x:c r="J13" s="36"/>
      <x:c r="K13" s="36"/>
      <x:c r="L13" s="41" t="str">
        <x:f>IF(A13="","",IF(AND(ISNUMBER(I13),K13&lt;&gt;"",OR(J13="NET_CLASS_CHANGE",AND(OR(J13="GROSS_TRANSITION",J13="STOCK_AREA"),I13&gt;=0))),"COMPLETE","HOLD: INPUT / TYPE"))</x:f>
      </x:c>
    </x:row>
    <x:row r="14" ht="23" customHeight="1">
      <x:c r="A14" s="38"/>
      <x:c r="B14" s="36"/>
      <x:c r="C14" s="36"/>
      <x:c r="D14" s="36"/>
      <x:c r="E14" s="36"/>
      <x:c r="F14" s="36"/>
      <x:c r="G14" s="36"/>
      <x:c r="H14" s="36"/>
      <x:c r="I14" s="41" t="str">
        <x:f>IF(A14="","",IF(E14="PIXELS",IF(COUNT(F14:G14)=2,IF(AND(F14&gt;=0,G14&gt;0),F14*G14/Profile!$B$15,""),""),IF(E14="AREA",IF(ISNUMBER(H14),H14,""),"")))</x:f>
      </x:c>
      <x:c r="J14" s="36"/>
      <x:c r="K14" s="36"/>
      <x:c r="L14" s="41" t="str">
        <x:f>IF(A14="","",IF(AND(ISNUMBER(I14),K14&lt;&gt;"",OR(J14="NET_CLASS_CHANGE",AND(OR(J14="GROSS_TRANSITION",J14="STOCK_AREA"),I14&gt;=0))),"COMPLETE","HOLD: INPUT / TYPE"))</x:f>
      </x:c>
    </x:row>
    <x:row r="15" ht="23" customHeight="1">
      <x:c r="A15" s="38"/>
      <x:c r="B15" s="36"/>
      <x:c r="C15" s="36"/>
      <x:c r="D15" s="36"/>
      <x:c r="E15" s="36"/>
      <x:c r="F15" s="36"/>
      <x:c r="G15" s="36"/>
      <x:c r="H15" s="36"/>
      <x:c r="I15" s="41" t="str">
        <x:f>IF(A15="","",IF(E15="PIXELS",IF(COUNT(F15:G15)=2,IF(AND(F15&gt;=0,G15&gt;0),F15*G15/Profile!$B$15,""),""),IF(E15="AREA",IF(ISNUMBER(H15),H15,""),"")))</x:f>
      </x:c>
      <x:c r="J15" s="36"/>
      <x:c r="K15" s="36"/>
      <x:c r="L15" s="41" t="str">
        <x:f>IF(A15="","",IF(AND(ISNUMBER(I15),K15&lt;&gt;"",OR(J15="NET_CLASS_CHANGE",AND(OR(J15="GROSS_TRANSITION",J15="STOCK_AREA"),I15&gt;=0))),"COMPLETE","HOLD: INPUT / TYPE"))</x:f>
      </x:c>
    </x:row>
    <x:row r="16" ht="23" customHeight="1">
      <x:c r="A16" s="38"/>
      <x:c r="B16" s="36"/>
      <x:c r="C16" s="36"/>
      <x:c r="D16" s="36"/>
      <x:c r="E16" s="36"/>
      <x:c r="F16" s="36"/>
      <x:c r="G16" s="36"/>
      <x:c r="H16" s="36"/>
      <x:c r="I16" s="41" t="str">
        <x:f>IF(A16="","",IF(E16="PIXELS",IF(COUNT(F16:G16)=2,IF(AND(F16&gt;=0,G16&gt;0),F16*G16/Profile!$B$15,""),""),IF(E16="AREA",IF(ISNUMBER(H16),H16,""),"")))</x:f>
      </x:c>
      <x:c r="J16" s="36"/>
      <x:c r="K16" s="36"/>
      <x:c r="L16" s="41" t="str">
        <x:f>IF(A16="","",IF(AND(ISNUMBER(I16),K16&lt;&gt;"",OR(J16="NET_CLASS_CHANGE",AND(OR(J16="GROSS_TRANSITION",J16="STOCK_AREA"),I16&gt;=0))),"COMPLETE","HOLD: INPUT / TYPE"))</x:f>
      </x:c>
    </x:row>
    <x:row r="17" ht="23" customHeight="1">
      <x:c r="A17" s="38"/>
      <x:c r="B17" s="36"/>
      <x:c r="C17" s="36"/>
      <x:c r="D17" s="36"/>
      <x:c r="E17" s="36"/>
      <x:c r="F17" s="36"/>
      <x:c r="G17" s="36"/>
      <x:c r="H17" s="36"/>
      <x:c r="I17" s="41" t="str">
        <x:f>IF(A17="","",IF(E17="PIXELS",IF(COUNT(F17:G17)=2,IF(AND(F17&gt;=0,G17&gt;0),F17*G17/Profile!$B$15,""),""),IF(E17="AREA",IF(ISNUMBER(H17),H17,""),"")))</x:f>
      </x:c>
      <x:c r="J17" s="36"/>
      <x:c r="K17" s="36"/>
      <x:c r="L17" s="41" t="str">
        <x:f>IF(A17="","",IF(AND(ISNUMBER(I17),K17&lt;&gt;"",OR(J17="NET_CLASS_CHANGE",AND(OR(J17="GROSS_TRANSITION",J17="STOCK_AREA"),I17&gt;=0))),"COMPLETE","HOLD: INPUT / TYPE"))</x:f>
      </x:c>
    </x:row>
    <x:row r="18" ht="23" customHeight="1">
      <x:c r="A18" s="38"/>
      <x:c r="B18" s="36"/>
      <x:c r="C18" s="36"/>
      <x:c r="D18" s="36"/>
      <x:c r="E18" s="36"/>
      <x:c r="F18" s="36"/>
      <x:c r="G18" s="36"/>
      <x:c r="H18" s="36"/>
      <x:c r="I18" s="41" t="str">
        <x:f>IF(A18="","",IF(E18="PIXELS",IF(COUNT(F18:G18)=2,IF(AND(F18&gt;=0,G18&gt;0),F18*G18/Profile!$B$15,""),""),IF(E18="AREA",IF(ISNUMBER(H18),H18,""),"")))</x:f>
      </x:c>
      <x:c r="J18" s="36"/>
      <x:c r="K18" s="36"/>
      <x:c r="L18" s="41" t="str">
        <x:f>IF(A18="","",IF(AND(ISNUMBER(I18),K18&lt;&gt;"",OR(J18="NET_CLASS_CHANGE",AND(OR(J18="GROSS_TRANSITION",J18="STOCK_AREA"),I18&gt;=0))),"COMPLETE","HOLD: INPUT / TYPE"))</x:f>
      </x:c>
    </x:row>
    <x:row r="19" ht="23" customHeight="1">
      <x:c r="A19" s="38"/>
      <x:c r="B19" s="36"/>
      <x:c r="C19" s="36"/>
      <x:c r="D19" s="36"/>
      <x:c r="E19" s="36"/>
      <x:c r="F19" s="36"/>
      <x:c r="G19" s="36"/>
      <x:c r="H19" s="36"/>
      <x:c r="I19" s="41" t="str">
        <x:f>IF(A19="","",IF(E19="PIXELS",IF(COUNT(F19:G19)=2,IF(AND(F19&gt;=0,G19&gt;0),F19*G19/Profile!$B$15,""),""),IF(E19="AREA",IF(ISNUMBER(H19),H19,""),"")))</x:f>
      </x:c>
      <x:c r="J19" s="36"/>
      <x:c r="K19" s="36"/>
      <x:c r="L19" s="41" t="str">
        <x:f>IF(A19="","",IF(AND(ISNUMBER(I19),K19&lt;&gt;"",OR(J19="NET_CLASS_CHANGE",AND(OR(J19="GROSS_TRANSITION",J19="STOCK_AREA"),I19&gt;=0))),"COMPLETE","HOLD: INPUT / TYPE"))</x:f>
      </x:c>
    </x:row>
    <x:row r="20" ht="23" customHeight="1">
      <x:c r="A20" s="38"/>
      <x:c r="B20" s="36"/>
      <x:c r="C20" s="36"/>
      <x:c r="D20" s="36"/>
      <x:c r="E20" s="36"/>
      <x:c r="F20" s="36"/>
      <x:c r="G20" s="36"/>
      <x:c r="H20" s="36"/>
      <x:c r="I20" s="41" t="str">
        <x:f>IF(A20="","",IF(E20="PIXELS",IF(COUNT(F20:G20)=2,IF(AND(F20&gt;=0,G20&gt;0),F20*G20/Profile!$B$15,""),""),IF(E20="AREA",IF(ISNUMBER(H20),H20,""),"")))</x:f>
      </x:c>
      <x:c r="J20" s="36"/>
      <x:c r="K20" s="36"/>
      <x:c r="L20" s="41" t="str">
        <x:f>IF(A20="","",IF(AND(ISNUMBER(I20),K20&lt;&gt;"",OR(J20="NET_CLASS_CHANGE",AND(OR(J20="GROSS_TRANSITION",J20="STOCK_AREA"),I20&gt;=0))),"COMPLETE","HOLD: INPUT / TYPE"))</x:f>
      </x:c>
    </x:row>
    <x:row r="21" ht="23" customHeight="1">
      <x:c r="A21" s="38"/>
      <x:c r="B21" s="36"/>
      <x:c r="C21" s="36"/>
      <x:c r="D21" s="36"/>
      <x:c r="E21" s="36"/>
      <x:c r="F21" s="36"/>
      <x:c r="G21" s="36"/>
      <x:c r="H21" s="36"/>
      <x:c r="I21" s="41" t="str">
        <x:f>IF(A21="","",IF(E21="PIXELS",IF(COUNT(F21:G21)=2,IF(AND(F21&gt;=0,G21&gt;0),F21*G21/Profile!$B$15,""),""),IF(E21="AREA",IF(ISNUMBER(H21),H21,""),"")))</x:f>
      </x:c>
      <x:c r="J21" s="36"/>
      <x:c r="K21" s="36"/>
      <x:c r="L21" s="41" t="str">
        <x:f>IF(A21="","",IF(AND(ISNUMBER(I21),K21&lt;&gt;"",OR(J21="NET_CLASS_CHANGE",AND(OR(J21="GROSS_TRANSITION",J21="STOCK_AREA"),I21&gt;=0))),"COMPLETE","HOLD: INPUT / TYPE"))</x:f>
      </x:c>
    </x:row>
    <x:row r="22" ht="23" customHeight="1">
      <x:c r="A22" s="38"/>
      <x:c r="B22" s="36"/>
      <x:c r="C22" s="36"/>
      <x:c r="D22" s="36"/>
      <x:c r="E22" s="36"/>
      <x:c r="F22" s="36"/>
      <x:c r="G22" s="36"/>
      <x:c r="H22" s="36"/>
      <x:c r="I22" s="41" t="str">
        <x:f>IF(A22="","",IF(E22="PIXELS",IF(COUNT(F22:G22)=2,IF(AND(F22&gt;=0,G22&gt;0),F22*G22/Profile!$B$15,""),""),IF(E22="AREA",IF(ISNUMBER(H22),H22,""),"")))</x:f>
      </x:c>
      <x:c r="J22" s="36"/>
      <x:c r="K22" s="36"/>
      <x:c r="L22" s="41" t="str">
        <x:f>IF(A22="","",IF(AND(ISNUMBER(I22),K22&lt;&gt;"",OR(J22="NET_CLASS_CHANGE",AND(OR(J22="GROSS_TRANSITION",J22="STOCK_AREA"),I22&gt;=0))),"COMPLETE","HOLD: INPUT / TYPE"))</x:f>
      </x:c>
    </x:row>
    <x:row r="23" ht="23" customHeight="1">
      <x:c r="A23" s="38"/>
      <x:c r="B23" s="36"/>
      <x:c r="C23" s="36"/>
      <x:c r="D23" s="36"/>
      <x:c r="E23" s="36"/>
      <x:c r="F23" s="36"/>
      <x:c r="G23" s="36"/>
      <x:c r="H23" s="36"/>
      <x:c r="I23" s="41" t="str">
        <x:f>IF(A23="","",IF(E23="PIXELS",IF(COUNT(F23:G23)=2,IF(AND(F23&gt;=0,G23&gt;0),F23*G23/Profile!$B$15,""),""),IF(E23="AREA",IF(ISNUMBER(H23),H23,""),"")))</x:f>
      </x:c>
      <x:c r="J23" s="36"/>
      <x:c r="K23" s="36"/>
      <x:c r="L23" s="41" t="str">
        <x:f>IF(A23="","",IF(AND(ISNUMBER(I23),K23&lt;&gt;"",OR(J23="NET_CLASS_CHANGE",AND(OR(J23="GROSS_TRANSITION",J23="STOCK_AREA"),I23&gt;=0))),"COMPLETE","HOLD: INPUT / TYPE"))</x:f>
      </x:c>
    </x:row>
    <x:row r="24" ht="23" customHeight="1">
      <x:c r="A24" s="38"/>
      <x:c r="B24" s="36"/>
      <x:c r="C24" s="36"/>
      <x:c r="D24" s="36"/>
      <x:c r="E24" s="36"/>
      <x:c r="F24" s="36"/>
      <x:c r="G24" s="36"/>
      <x:c r="H24" s="36"/>
      <x:c r="I24" s="41" t="str">
        <x:f>IF(A24="","",IF(E24="PIXELS",IF(COUNT(F24:G24)=2,IF(AND(F24&gt;=0,G24&gt;0),F24*G24/Profile!$B$15,""),""),IF(E24="AREA",IF(ISNUMBER(H24),H24,""),"")))</x:f>
      </x:c>
      <x:c r="J24" s="36"/>
      <x:c r="K24" s="36"/>
      <x:c r="L24" s="41" t="str">
        <x:f>IF(A24="","",IF(AND(ISNUMBER(I24),K24&lt;&gt;"",OR(J24="NET_CLASS_CHANGE",AND(OR(J24="GROSS_TRANSITION",J24="STOCK_AREA"),I24&gt;=0))),"COMPLETE","HOLD: INPUT / TYPE"))</x:f>
      </x:c>
    </x:row>
    <x:row r="25" ht="23" customHeight="1">
      <x:c r="A25" s="38"/>
      <x:c r="B25" s="36"/>
      <x:c r="C25" s="36"/>
      <x:c r="D25" s="36"/>
      <x:c r="E25" s="36"/>
      <x:c r="F25" s="36"/>
      <x:c r="G25" s="36"/>
      <x:c r="H25" s="36"/>
      <x:c r="I25" s="41" t="str">
        <x:f>IF(A25="","",IF(E25="PIXELS",IF(COUNT(F25:G25)=2,IF(AND(F25&gt;=0,G25&gt;0),F25*G25/Profile!$B$15,""),""),IF(E25="AREA",IF(ISNUMBER(H25),H25,""),"")))</x:f>
      </x:c>
      <x:c r="J25" s="36"/>
      <x:c r="K25" s="36"/>
      <x:c r="L25" s="41" t="str">
        <x:f>IF(A25="","",IF(AND(ISNUMBER(I25),K25&lt;&gt;"",OR(J25="NET_CLASS_CHANGE",AND(OR(J25="GROSS_TRANSITION",J25="STOCK_AREA"),I25&gt;=0))),"COMPLETE","HOLD: INPUT / TYPE"))</x:f>
      </x:c>
    </x:row>
    <x:row r="26" ht="23" customHeight="1">
      <x:c r="A26" s="38"/>
      <x:c r="B26" s="36"/>
      <x:c r="C26" s="36"/>
      <x:c r="D26" s="36"/>
      <x:c r="E26" s="36"/>
      <x:c r="F26" s="36"/>
      <x:c r="G26" s="36"/>
      <x:c r="H26" s="36"/>
      <x:c r="I26" s="41" t="str">
        <x:f>IF(A26="","",IF(E26="PIXELS",IF(COUNT(F26:G26)=2,IF(AND(F26&gt;=0,G26&gt;0),F26*G26/Profile!$B$15,""),""),IF(E26="AREA",IF(ISNUMBER(H26),H26,""),"")))</x:f>
      </x:c>
      <x:c r="J26" s="36"/>
      <x:c r="K26" s="36"/>
      <x:c r="L26" s="41" t="str">
        <x:f>IF(A26="","",IF(AND(ISNUMBER(I26),K26&lt;&gt;"",OR(J26="NET_CLASS_CHANGE",AND(OR(J26="GROSS_TRANSITION",J26="STOCK_AREA"),I26&gt;=0))),"COMPLETE","HOLD: INPUT / TYPE"))</x:f>
      </x:c>
    </x:row>
    <x:row r="27" ht="23" customHeight="1">
      <x:c r="A27" s="38"/>
      <x:c r="B27" s="36"/>
      <x:c r="C27" s="36"/>
      <x:c r="D27" s="36"/>
      <x:c r="E27" s="36"/>
      <x:c r="F27" s="36"/>
      <x:c r="G27" s="36"/>
      <x:c r="H27" s="36"/>
      <x:c r="I27" s="41" t="str">
        <x:f>IF(A27="","",IF(E27="PIXELS",IF(COUNT(F27:G27)=2,IF(AND(F27&gt;=0,G27&gt;0),F27*G27/Profile!$B$15,""),""),IF(E27="AREA",IF(ISNUMBER(H27),H27,""),"")))</x:f>
      </x:c>
      <x:c r="J27" s="36"/>
      <x:c r="K27" s="36"/>
      <x:c r="L27" s="41" t="str">
        <x:f>IF(A27="","",IF(AND(ISNUMBER(I27),K27&lt;&gt;"",OR(J27="NET_CLASS_CHANGE",AND(OR(J27="GROSS_TRANSITION",J27="STOCK_AREA"),I27&gt;=0))),"COMPLETE","HOLD: INPUT / TYPE"))</x:f>
      </x:c>
    </x:row>
    <x:row r="28" ht="23" customHeight="1">
      <x:c r="A28" s="38"/>
      <x:c r="B28" s="36"/>
      <x:c r="C28" s="36"/>
      <x:c r="D28" s="36"/>
      <x:c r="E28" s="36"/>
      <x:c r="F28" s="36"/>
      <x:c r="G28" s="36"/>
      <x:c r="H28" s="36"/>
      <x:c r="I28" s="41" t="str">
        <x:f>IF(A28="","",IF(E28="PIXELS",IF(COUNT(F28:G28)=2,IF(AND(F28&gt;=0,G28&gt;0),F28*G28/Profile!$B$15,""),""),IF(E28="AREA",IF(ISNUMBER(H28),H28,""),"")))</x:f>
      </x:c>
      <x:c r="J28" s="36"/>
      <x:c r="K28" s="36"/>
      <x:c r="L28" s="41" t="str">
        <x:f>IF(A28="","",IF(AND(ISNUMBER(I28),K28&lt;&gt;"",OR(J28="NET_CLASS_CHANGE",AND(OR(J28="GROSS_TRANSITION",J28="STOCK_AREA"),I28&gt;=0))),"COMPLETE","HOLD: INPUT / TYPE"))</x:f>
      </x:c>
    </x:row>
    <x:row r="29" ht="23" customHeight="1">
      <x:c r="A29" s="38"/>
      <x:c r="B29" s="36"/>
      <x:c r="C29" s="36"/>
      <x:c r="D29" s="36"/>
      <x:c r="E29" s="36"/>
      <x:c r="F29" s="36"/>
      <x:c r="G29" s="36"/>
      <x:c r="H29" s="36"/>
      <x:c r="I29" s="41" t="str">
        <x:f>IF(A29="","",IF(E29="PIXELS",IF(COUNT(F29:G29)=2,IF(AND(F29&gt;=0,G29&gt;0),F29*G29/Profile!$B$15,""),""),IF(E29="AREA",IF(ISNUMBER(H29),H29,""),"")))</x:f>
      </x:c>
      <x:c r="J29" s="36"/>
      <x:c r="K29" s="36"/>
      <x:c r="L29" s="41" t="str">
        <x:f>IF(A29="","",IF(AND(ISNUMBER(I29),K29&lt;&gt;"",OR(J29="NET_CLASS_CHANGE",AND(OR(J29="GROSS_TRANSITION",J29="STOCK_AREA"),I29&gt;=0))),"COMPLETE","HOLD: INPUT / TYPE"))</x:f>
      </x:c>
    </x:row>
    <x:row r="30" ht="23" customHeight="1">
      <x:c r="A30" s="38"/>
      <x:c r="B30" s="36"/>
      <x:c r="C30" s="36"/>
      <x:c r="D30" s="36"/>
      <x:c r="E30" s="36"/>
      <x:c r="F30" s="36"/>
      <x:c r="G30" s="36"/>
      <x:c r="H30" s="36"/>
      <x:c r="I30" s="41" t="str">
        <x:f>IF(A30="","",IF(E30="PIXELS",IF(COUNT(F30:G30)=2,IF(AND(F30&gt;=0,G30&gt;0),F30*G30/Profile!$B$15,""),""),IF(E30="AREA",IF(ISNUMBER(H30),H30,""),"")))</x:f>
      </x:c>
      <x:c r="J30" s="36"/>
      <x:c r="K30" s="36"/>
      <x:c r="L30" s="41" t="str">
        <x:f>IF(A30="","",IF(AND(ISNUMBER(I30),K30&lt;&gt;"",OR(J30="NET_CLASS_CHANGE",AND(OR(J30="GROSS_TRANSITION",J30="STOCK_AREA"),I30&gt;=0))),"COMPLETE","HOLD: INPUT / TYPE"))</x:f>
      </x:c>
    </x:row>
    <x:row r="31" ht="23" customHeight="1">
      <x:c r="A31" s="38"/>
      <x:c r="B31" s="36"/>
      <x:c r="C31" s="36"/>
      <x:c r="D31" s="36"/>
      <x:c r="E31" s="36"/>
      <x:c r="F31" s="36"/>
      <x:c r="G31" s="36"/>
      <x:c r="H31" s="36"/>
      <x:c r="I31" s="41" t="str">
        <x:f>IF(A31="","",IF(E31="PIXELS",IF(COUNT(F31:G31)=2,IF(AND(F31&gt;=0,G31&gt;0),F31*G31/Profile!$B$15,""),""),IF(E31="AREA",IF(ISNUMBER(H31),H31,""),"")))</x:f>
      </x:c>
      <x:c r="J31" s="36"/>
      <x:c r="K31" s="36"/>
      <x:c r="L31" s="41" t="str">
        <x:f>IF(A31="","",IF(AND(ISNUMBER(I31),K31&lt;&gt;"",OR(J31="NET_CLASS_CHANGE",AND(OR(J31="GROSS_TRANSITION",J31="STOCK_AREA"),I31&gt;=0))),"COMPLETE","HOLD: INPUT / TYPE"))</x:f>
      </x:c>
    </x:row>
    <x:row r="32" ht="23" customHeight="1">
      <x:c r="A32" s="38"/>
      <x:c r="B32" s="36"/>
      <x:c r="C32" s="36"/>
      <x:c r="D32" s="36"/>
      <x:c r="E32" s="36"/>
      <x:c r="F32" s="36"/>
      <x:c r="G32" s="36"/>
      <x:c r="H32" s="36"/>
      <x:c r="I32" s="41" t="str">
        <x:f>IF(A32="","",IF(E32="PIXELS",IF(COUNT(F32:G32)=2,IF(AND(F32&gt;=0,G32&gt;0),F32*G32/Profile!$B$15,""),""),IF(E32="AREA",IF(ISNUMBER(H32),H32,""),"")))</x:f>
      </x:c>
      <x:c r="J32" s="36"/>
      <x:c r="K32" s="36"/>
      <x:c r="L32" s="41" t="str">
        <x:f>IF(A32="","",IF(AND(ISNUMBER(I32),K32&lt;&gt;"",OR(J32="NET_CLASS_CHANGE",AND(OR(J32="GROSS_TRANSITION",J32="STOCK_AREA"),I32&gt;=0))),"COMPLETE","HOLD: INPUT / TYPE"))</x:f>
      </x:c>
    </x:row>
    <x:row r="33" ht="23" customHeight="1">
      <x:c r="A33" s="38"/>
      <x:c r="B33" s="36"/>
      <x:c r="C33" s="36"/>
      <x:c r="D33" s="36"/>
      <x:c r="E33" s="36"/>
      <x:c r="F33" s="36"/>
      <x:c r="G33" s="36"/>
      <x:c r="H33" s="36"/>
      <x:c r="I33" s="41" t="str">
        <x:f>IF(A33="","",IF(E33="PIXELS",IF(COUNT(F33:G33)=2,IF(AND(F33&gt;=0,G33&gt;0),F33*G33/Profile!$B$15,""),""),IF(E33="AREA",IF(ISNUMBER(H33),H33,""),"")))</x:f>
      </x:c>
      <x:c r="J33" s="36"/>
      <x:c r="K33" s="36"/>
      <x:c r="L33" s="41" t="str">
        <x:f>IF(A33="","",IF(AND(ISNUMBER(I33),K33&lt;&gt;"",OR(J33="NET_CLASS_CHANGE",AND(OR(J33="GROSS_TRANSITION",J33="STOCK_AREA"),I33&gt;=0))),"COMPLETE","HOLD: INPUT / TYPE"))</x:f>
      </x:c>
    </x:row>
    <x:row r="34" ht="23" customHeight="1">
      <x:c r="A34" s="38"/>
      <x:c r="B34" s="36"/>
      <x:c r="C34" s="36"/>
      <x:c r="D34" s="36"/>
      <x:c r="E34" s="36"/>
      <x:c r="F34" s="36"/>
      <x:c r="G34" s="36"/>
      <x:c r="H34" s="36"/>
      <x:c r="I34" s="41" t="str">
        <x:f>IF(A34="","",IF(E34="PIXELS",IF(COUNT(F34:G34)=2,IF(AND(F34&gt;=0,G34&gt;0),F34*G34/Profile!$B$15,""),""),IF(E34="AREA",IF(ISNUMBER(H34),H34,""),"")))</x:f>
      </x:c>
      <x:c r="J34" s="36"/>
      <x:c r="K34" s="36"/>
      <x:c r="L34" s="41" t="str">
        <x:f>IF(A34="","",IF(AND(ISNUMBER(I34),K34&lt;&gt;"",OR(J34="NET_CLASS_CHANGE",AND(OR(J34="GROSS_TRANSITION",J34="STOCK_AREA"),I34&gt;=0))),"COMPLETE","HOLD: INPUT / TYPE"))</x:f>
      </x:c>
    </x:row>
    <x:row r="35" ht="23" customHeight="1">
      <x:c r="A35" s="38"/>
      <x:c r="B35" s="36"/>
      <x:c r="C35" s="36"/>
      <x:c r="D35" s="36"/>
      <x:c r="E35" s="36"/>
      <x:c r="F35" s="36"/>
      <x:c r="G35" s="36"/>
      <x:c r="H35" s="36"/>
      <x:c r="I35" s="41" t="str">
        <x:f>IF(A35="","",IF(E35="PIXELS",IF(COUNT(F35:G35)=2,IF(AND(F35&gt;=0,G35&gt;0),F35*G35/Profile!$B$15,""),""),IF(E35="AREA",IF(ISNUMBER(H35),H35,""),"")))</x:f>
      </x:c>
      <x:c r="J35" s="36"/>
      <x:c r="K35" s="36"/>
      <x:c r="L35" s="41" t="str">
        <x:f>IF(A35="","",IF(AND(ISNUMBER(I35),K35&lt;&gt;"",OR(J35="NET_CLASS_CHANGE",AND(OR(J35="GROSS_TRANSITION",J35="STOCK_AREA"),I35&gt;=0))),"COMPLETE","HOLD: INPUT / TYPE"))</x:f>
      </x:c>
    </x:row>
    <x:row r="36" ht="23" customHeight="1">
      <x:c r="A36" s="38"/>
      <x:c r="B36" s="36"/>
      <x:c r="C36" s="36"/>
      <x:c r="D36" s="36"/>
      <x:c r="E36" s="36"/>
      <x:c r="F36" s="36"/>
      <x:c r="G36" s="36"/>
      <x:c r="H36" s="36"/>
      <x:c r="I36" s="41" t="str">
        <x:f>IF(A36="","",IF(E36="PIXELS",IF(COUNT(F36:G36)=2,IF(AND(F36&gt;=0,G36&gt;0),F36*G36/Profile!$B$15,""),""),IF(E36="AREA",IF(ISNUMBER(H36),H36,""),"")))</x:f>
      </x:c>
      <x:c r="J36" s="36"/>
      <x:c r="K36" s="36"/>
      <x:c r="L36" s="41" t="str">
        <x:f>IF(A36="","",IF(AND(ISNUMBER(I36),K36&lt;&gt;"",OR(J36="NET_CLASS_CHANGE",AND(OR(J36="GROSS_TRANSITION",J36="STOCK_AREA"),I36&gt;=0))),"COMPLETE","HOLD: INPUT / TYPE"))</x:f>
      </x:c>
    </x:row>
    <x:row r="37" ht="23" customHeight="1">
      <x:c r="A37" s="38"/>
      <x:c r="B37" s="36"/>
      <x:c r="C37" s="36"/>
      <x:c r="D37" s="36"/>
      <x:c r="E37" s="36"/>
      <x:c r="F37" s="36"/>
      <x:c r="G37" s="36"/>
      <x:c r="H37" s="36"/>
      <x:c r="I37" s="41" t="str">
        <x:f>IF(A37="","",IF(E37="PIXELS",IF(COUNT(F37:G37)=2,IF(AND(F37&gt;=0,G37&gt;0),F37*G37/Profile!$B$15,""),""),IF(E37="AREA",IF(ISNUMBER(H37),H37,""),"")))</x:f>
      </x:c>
      <x:c r="J37" s="36"/>
      <x:c r="K37" s="36"/>
      <x:c r="L37" s="41" t="str">
        <x:f>IF(A37="","",IF(AND(ISNUMBER(I37),K37&lt;&gt;"",OR(J37="NET_CLASS_CHANGE",AND(OR(J37="GROSS_TRANSITION",J37="STOCK_AREA"),I37&gt;=0))),"COMPLETE","HOLD: INPUT / TYPE"))</x:f>
      </x:c>
    </x:row>
    <x:row r="38" ht="23" customHeight="1">
      <x:c r="A38" s="38"/>
      <x:c r="B38" s="36"/>
      <x:c r="C38" s="36"/>
      <x:c r="D38" s="36"/>
      <x:c r="E38" s="36"/>
      <x:c r="F38" s="36"/>
      <x:c r="G38" s="36"/>
      <x:c r="H38" s="36"/>
      <x:c r="I38" s="41" t="str">
        <x:f>IF(A38="","",IF(E38="PIXELS",IF(COUNT(F38:G38)=2,IF(AND(F38&gt;=0,G38&gt;0),F38*G38/Profile!$B$15,""),""),IF(E38="AREA",IF(ISNUMBER(H38),H38,""),"")))</x:f>
      </x:c>
      <x:c r="J38" s="36"/>
      <x:c r="K38" s="36"/>
      <x:c r="L38" s="41" t="str">
        <x:f>IF(A38="","",IF(AND(ISNUMBER(I38),K38&lt;&gt;"",OR(J38="NET_CLASS_CHANGE",AND(OR(J38="GROSS_TRANSITION",J38="STOCK_AREA"),I38&gt;=0))),"COMPLETE","HOLD: INPUT / TYPE"))</x:f>
      </x:c>
    </x:row>
    <x:row r="39" ht="23" customHeight="1">
      <x:c r="A39" s="38"/>
      <x:c r="B39" s="36"/>
      <x:c r="C39" s="36"/>
      <x:c r="D39" s="36"/>
      <x:c r="E39" s="36"/>
      <x:c r="F39" s="36"/>
      <x:c r="G39" s="36"/>
      <x:c r="H39" s="36"/>
      <x:c r="I39" s="41" t="str">
        <x:f>IF(A39="","",IF(E39="PIXELS",IF(COUNT(F39:G39)=2,IF(AND(F39&gt;=0,G39&gt;0),F39*G39/Profile!$B$15,""),""),IF(E39="AREA",IF(ISNUMBER(H39),H39,""),"")))</x:f>
      </x:c>
      <x:c r="J39" s="36"/>
      <x:c r="K39" s="36"/>
      <x:c r="L39" s="41" t="str">
        <x:f>IF(A39="","",IF(AND(ISNUMBER(I39),K39&lt;&gt;"",OR(J39="NET_CLASS_CHANGE",AND(OR(J39="GROSS_TRANSITION",J39="STOCK_AREA"),I39&gt;=0))),"COMPLETE","HOLD: INPUT / TYPE"))</x:f>
      </x:c>
    </x:row>
    <x:row r="40" ht="23" customHeight="1">
      <x:c r="A40" s="38"/>
      <x:c r="B40" s="36"/>
      <x:c r="C40" s="36"/>
      <x:c r="D40" s="36"/>
      <x:c r="E40" s="36"/>
      <x:c r="F40" s="36"/>
      <x:c r="G40" s="36"/>
      <x:c r="H40" s="36"/>
      <x:c r="I40" s="41" t="str">
        <x:f>IF(A40="","",IF(E40="PIXELS",IF(COUNT(F40:G40)=2,IF(AND(F40&gt;=0,G40&gt;0),F40*G40/Profile!$B$15,""),""),IF(E40="AREA",IF(ISNUMBER(H40),H40,""),"")))</x:f>
      </x:c>
      <x:c r="J40" s="36"/>
      <x:c r="K40" s="36"/>
      <x:c r="L40" s="41" t="str">
        <x:f>IF(A40="","",IF(AND(ISNUMBER(I40),K40&lt;&gt;"",OR(J40="NET_CLASS_CHANGE",AND(OR(J40="GROSS_TRANSITION",J40="STOCK_AREA"),I40&gt;=0))),"COMPLETE","HOLD: INPUT / TYPE"))</x:f>
      </x:c>
    </x:row>
    <x:row r="41" ht="23" customHeight="1">
      <x:c r="A41" s="38"/>
      <x:c r="B41" s="36"/>
      <x:c r="C41" s="36"/>
      <x:c r="D41" s="36"/>
      <x:c r="E41" s="36"/>
      <x:c r="F41" s="36"/>
      <x:c r="G41" s="36"/>
      <x:c r="H41" s="36"/>
      <x:c r="I41" s="41" t="str">
        <x:f>IF(A41="","",IF(E41="PIXELS",IF(COUNT(F41:G41)=2,IF(AND(F41&gt;=0,G41&gt;0),F41*G41/Profile!$B$15,""),""),IF(E41="AREA",IF(ISNUMBER(H41),H41,""),"")))</x:f>
      </x:c>
      <x:c r="J41" s="36"/>
      <x:c r="K41" s="36"/>
      <x:c r="L41" s="41" t="str">
        <x:f>IF(A41="","",IF(AND(ISNUMBER(I41),K41&lt;&gt;"",OR(J41="NET_CLASS_CHANGE",AND(OR(J41="GROSS_TRANSITION",J41="STOCK_AREA"),I41&gt;=0))),"COMPLETE","HOLD: INPUT / TYPE"))</x:f>
      </x:c>
    </x:row>
    <x:row r="42" ht="23" customHeight="1">
      <x:c r="A42" s="38"/>
      <x:c r="B42" s="36"/>
      <x:c r="C42" s="36"/>
      <x:c r="D42" s="36"/>
      <x:c r="E42" s="36"/>
      <x:c r="F42" s="36"/>
      <x:c r="G42" s="36"/>
      <x:c r="H42" s="36"/>
      <x:c r="I42" s="41" t="str">
        <x:f>IF(A42="","",IF(E42="PIXELS",IF(COUNT(F42:G42)=2,IF(AND(F42&gt;=0,G42&gt;0),F42*G42/Profile!$B$15,""),""),IF(E42="AREA",IF(ISNUMBER(H42),H42,""),"")))</x:f>
      </x:c>
      <x:c r="J42" s="36"/>
      <x:c r="K42" s="36"/>
      <x:c r="L42" s="41" t="str">
        <x:f>IF(A42="","",IF(AND(ISNUMBER(I42),K42&lt;&gt;"",OR(J42="NET_CLASS_CHANGE",AND(OR(J42="GROSS_TRANSITION",J42="STOCK_AREA"),I42&gt;=0))),"COMPLETE","HOLD: INPUT / TYPE"))</x:f>
      </x:c>
    </x:row>
    <x:row r="43" ht="23" customHeight="1">
      <x:c r="A43" s="38"/>
      <x:c r="B43" s="36"/>
      <x:c r="C43" s="36"/>
      <x:c r="D43" s="36"/>
      <x:c r="E43" s="36"/>
      <x:c r="F43" s="36"/>
      <x:c r="G43" s="36"/>
      <x:c r="H43" s="36"/>
      <x:c r="I43" s="41" t="str">
        <x:f>IF(A43="","",IF(E43="PIXELS",IF(COUNT(F43:G43)=2,IF(AND(F43&gt;=0,G43&gt;0),F43*G43/Profile!$B$15,""),""),IF(E43="AREA",IF(ISNUMBER(H43),H43,""),"")))</x:f>
      </x:c>
      <x:c r="J43" s="36"/>
      <x:c r="K43" s="36"/>
      <x:c r="L43" s="41" t="str">
        <x:f>IF(A43="","",IF(AND(ISNUMBER(I43),K43&lt;&gt;"",OR(J43="NET_CLASS_CHANGE",AND(OR(J43="GROSS_TRANSITION",J43="STOCK_AREA"),I43&gt;=0))),"COMPLETE","HOLD: INPUT / TYPE"))</x:f>
      </x:c>
    </x:row>
    <x:row r="44" ht="23" customHeight="1">
      <x:c r="A44" s="38"/>
      <x:c r="B44" s="36"/>
      <x:c r="C44" s="36"/>
      <x:c r="D44" s="36"/>
      <x:c r="E44" s="36"/>
      <x:c r="F44" s="36"/>
      <x:c r="G44" s="36"/>
      <x:c r="H44" s="36"/>
      <x:c r="I44" s="41" t="str">
        <x:f>IF(A44="","",IF(E44="PIXELS",IF(COUNT(F44:G44)=2,IF(AND(F44&gt;=0,G44&gt;0),F44*G44/Profile!$B$15,""),""),IF(E44="AREA",IF(ISNUMBER(H44),H44,""),"")))</x:f>
      </x:c>
      <x:c r="J44" s="36"/>
      <x:c r="K44" s="36"/>
      <x:c r="L44" s="41" t="str">
        <x:f>IF(A44="","",IF(AND(ISNUMBER(I44),K44&lt;&gt;"",OR(J44="NET_CLASS_CHANGE",AND(OR(J44="GROSS_TRANSITION",J44="STOCK_AREA"),I44&gt;=0))),"COMPLETE","HOLD: INPUT / TYPE"))</x:f>
      </x:c>
    </x:row>
    <x:row r="45" ht="23" customHeight="1">
      <x:c r="A45" s="38"/>
      <x:c r="B45" s="36"/>
      <x:c r="C45" s="36"/>
      <x:c r="D45" s="36"/>
      <x:c r="E45" s="36"/>
      <x:c r="F45" s="36"/>
      <x:c r="G45" s="36"/>
      <x:c r="H45" s="36"/>
      <x:c r="I45" s="41" t="str">
        <x:f>IF(A45="","",IF(E45="PIXELS",IF(COUNT(F45:G45)=2,IF(AND(F45&gt;=0,G45&gt;0),F45*G45/Profile!$B$15,""),""),IF(E45="AREA",IF(ISNUMBER(H45),H45,""),"")))</x:f>
      </x:c>
      <x:c r="J45" s="36"/>
      <x:c r="K45" s="36"/>
      <x:c r="L45" s="41" t="str">
        <x:f>IF(A45="","",IF(AND(ISNUMBER(I45),K45&lt;&gt;"",OR(J45="NET_CLASS_CHANGE",AND(OR(J45="GROSS_TRANSITION",J45="STOCK_AREA"),I45&gt;=0))),"COMPLETE","HOLD: INPUT / TYPE"))</x:f>
      </x:c>
    </x:row>
    <x:row r="46" ht="23" customHeight="1">
      <x:c r="A46" s="38"/>
      <x:c r="B46" s="36"/>
      <x:c r="C46" s="36"/>
      <x:c r="D46" s="36"/>
      <x:c r="E46" s="36"/>
      <x:c r="F46" s="36"/>
      <x:c r="G46" s="36"/>
      <x:c r="H46" s="36"/>
      <x:c r="I46" s="41" t="str">
        <x:f>IF(A46="","",IF(E46="PIXELS",IF(COUNT(F46:G46)=2,IF(AND(F46&gt;=0,G46&gt;0),F46*G46/Profile!$B$15,""),""),IF(E46="AREA",IF(ISNUMBER(H46),H46,""),"")))</x:f>
      </x:c>
      <x:c r="J46" s="36"/>
      <x:c r="K46" s="36"/>
      <x:c r="L46" s="41" t="str">
        <x:f>IF(A46="","",IF(AND(ISNUMBER(I46),K46&lt;&gt;"",OR(J46="NET_CLASS_CHANGE",AND(OR(J46="GROSS_TRANSITION",J46="STOCK_AREA"),I46&gt;=0))),"COMPLETE","HOLD: INPUT / TYPE"))</x:f>
      </x:c>
    </x:row>
    <x:row r="47" ht="23" customHeight="1">
      <x:c r="A47" s="38"/>
      <x:c r="B47" s="36"/>
      <x:c r="C47" s="36"/>
      <x:c r="D47" s="36"/>
      <x:c r="E47" s="36"/>
      <x:c r="F47" s="36"/>
      <x:c r="G47" s="36"/>
      <x:c r="H47" s="36"/>
      <x:c r="I47" s="41" t="str">
        <x:f>IF(A47="","",IF(E47="PIXELS",IF(COUNT(F47:G47)=2,IF(AND(F47&gt;=0,G47&gt;0),F47*G47/Profile!$B$15,""),""),IF(E47="AREA",IF(ISNUMBER(H47),H47,""),"")))</x:f>
      </x:c>
      <x:c r="J47" s="36"/>
      <x:c r="K47" s="36"/>
      <x:c r="L47" s="41" t="str">
        <x:f>IF(A47="","",IF(AND(ISNUMBER(I47),K47&lt;&gt;"",OR(J47="NET_CLASS_CHANGE",AND(OR(J47="GROSS_TRANSITION",J47="STOCK_AREA"),I47&gt;=0))),"COMPLETE","HOLD: INPUT / TYPE"))</x:f>
      </x:c>
    </x:row>
    <x:row r="48" ht="23" customHeight="1">
      <x:c r="A48" s="38"/>
      <x:c r="B48" s="36"/>
      <x:c r="C48" s="36"/>
      <x:c r="D48" s="36"/>
      <x:c r="E48" s="36"/>
      <x:c r="F48" s="36"/>
      <x:c r="G48" s="36"/>
      <x:c r="H48" s="36"/>
      <x:c r="I48" s="41" t="str">
        <x:f>IF(A48="","",IF(E48="PIXELS",IF(COUNT(F48:G48)=2,IF(AND(F48&gt;=0,G48&gt;0),F48*G48/Profile!$B$15,""),""),IF(E48="AREA",IF(ISNUMBER(H48),H48,""),"")))</x:f>
      </x:c>
      <x:c r="J48" s="36"/>
      <x:c r="K48" s="36"/>
      <x:c r="L48" s="41" t="str">
        <x:f>IF(A48="","",IF(AND(ISNUMBER(I48),K48&lt;&gt;"",OR(J48="NET_CLASS_CHANGE",AND(OR(J48="GROSS_TRANSITION",J48="STOCK_AREA"),I48&gt;=0))),"COMPLETE","HOLD: INPUT / TYPE"))</x:f>
      </x:c>
    </x:row>
    <x:row r="49" ht="23" customHeight="1">
      <x:c r="A49" s="38"/>
      <x:c r="B49" s="36"/>
      <x:c r="C49" s="36"/>
      <x:c r="D49" s="36"/>
      <x:c r="E49" s="36"/>
      <x:c r="F49" s="36"/>
      <x:c r="G49" s="36"/>
      <x:c r="H49" s="36"/>
      <x:c r="I49" s="41" t="str">
        <x:f>IF(A49="","",IF(E49="PIXELS",IF(COUNT(F49:G49)=2,IF(AND(F49&gt;=0,G49&gt;0),F49*G49/Profile!$B$15,""),""),IF(E49="AREA",IF(ISNUMBER(H49),H49,""),"")))</x:f>
      </x:c>
      <x:c r="J49" s="36"/>
      <x:c r="K49" s="36"/>
      <x:c r="L49" s="41" t="str">
        <x:f>IF(A49="","",IF(AND(ISNUMBER(I49),K49&lt;&gt;"",OR(J49="NET_CLASS_CHANGE",AND(OR(J49="GROSS_TRANSITION",J49="STOCK_AREA"),I49&gt;=0))),"COMPLETE","HOLD: INPUT / TYPE"))</x:f>
      </x:c>
    </x:row>
    <x:row r="50" ht="23" customHeight="1">
      <x:c r="A50" s="38"/>
      <x:c r="B50" s="36"/>
      <x:c r="C50" s="36"/>
      <x:c r="D50" s="36"/>
      <x:c r="E50" s="36"/>
      <x:c r="F50" s="36"/>
      <x:c r="G50" s="36"/>
      <x:c r="H50" s="36"/>
      <x:c r="I50" s="41" t="str">
        <x:f>IF(A50="","",IF(E50="PIXELS",IF(COUNT(F50:G50)=2,IF(AND(F50&gt;=0,G50&gt;0),F50*G50/Profile!$B$15,""),""),IF(E50="AREA",IF(ISNUMBER(H50),H50,""),"")))</x:f>
      </x:c>
      <x:c r="J50" s="36"/>
      <x:c r="K50" s="36"/>
      <x:c r="L50" s="41" t="str">
        <x:f>IF(A50="","",IF(AND(ISNUMBER(I50),K50&lt;&gt;"",OR(J50="NET_CLASS_CHANGE",AND(OR(J50="GROSS_TRANSITION",J50="STOCK_AREA"),I50&gt;=0))),"COMPLETE","HOLD: INPUT / TYPE"))</x:f>
      </x:c>
    </x:row>
    <x:row r="51" ht="23" customHeight="1">
      <x:c r="A51" s="38"/>
      <x:c r="B51" s="36"/>
      <x:c r="C51" s="36"/>
      <x:c r="D51" s="36"/>
      <x:c r="E51" s="36"/>
      <x:c r="F51" s="36"/>
      <x:c r="G51" s="36"/>
      <x:c r="H51" s="36"/>
      <x:c r="I51" s="41" t="str">
        <x:f>IF(A51="","",IF(E51="PIXELS",IF(COUNT(F51:G51)=2,IF(AND(F51&gt;=0,G51&gt;0),F51*G51/Profile!$B$15,""),""),IF(E51="AREA",IF(ISNUMBER(H51),H51,""),"")))</x:f>
      </x:c>
      <x:c r="J51" s="36"/>
      <x:c r="K51" s="36"/>
      <x:c r="L51" s="41" t="str">
        <x:f>IF(A51="","",IF(AND(ISNUMBER(I51),K51&lt;&gt;"",OR(J51="NET_CLASS_CHANGE",AND(OR(J51="GROSS_TRANSITION",J51="STOCK_AREA"),I51&gt;=0))),"COMPLETE","HOLD: INPUT / TYPE"))</x:f>
      </x:c>
    </x:row>
    <x:row r="52" ht="23" customHeight="1">
      <x:c r="A52" s="38"/>
      <x:c r="B52" s="36"/>
      <x:c r="C52" s="36"/>
      <x:c r="D52" s="36"/>
      <x:c r="E52" s="36"/>
      <x:c r="F52" s="36"/>
      <x:c r="G52" s="36"/>
      <x:c r="H52" s="36"/>
      <x:c r="I52" s="41" t="str">
        <x:f>IF(A52="","",IF(E52="PIXELS",IF(COUNT(F52:G52)=2,IF(AND(F52&gt;=0,G52&gt;0),F52*G52/Profile!$B$15,""),""),IF(E52="AREA",IF(ISNUMBER(H52),H52,""),"")))</x:f>
      </x:c>
      <x:c r="J52" s="36"/>
      <x:c r="K52" s="36"/>
      <x:c r="L52" s="41" t="str">
        <x:f>IF(A52="","",IF(AND(ISNUMBER(I52),K52&lt;&gt;"",OR(J52="NET_CLASS_CHANGE",AND(OR(J52="GROSS_TRANSITION",J52="STOCK_AREA"),I52&gt;=0))),"COMPLETE","HOLD: INPUT / TYPE"))</x:f>
      </x:c>
    </x:row>
    <x:row r="53" ht="23" customHeight="1">
      <x:c r="A53" s="38"/>
      <x:c r="B53" s="36"/>
      <x:c r="C53" s="36"/>
      <x:c r="D53" s="36"/>
      <x:c r="E53" s="36"/>
      <x:c r="F53" s="36"/>
      <x:c r="G53" s="36"/>
      <x:c r="H53" s="36"/>
      <x:c r="I53" s="41" t="str">
        <x:f>IF(A53="","",IF(E53="PIXELS",IF(COUNT(F53:G53)=2,IF(AND(F53&gt;=0,G53&gt;0),F53*G53/Profile!$B$15,""),""),IF(E53="AREA",IF(ISNUMBER(H53),H53,""),"")))</x:f>
      </x:c>
      <x:c r="J53" s="36"/>
      <x:c r="K53" s="36"/>
      <x:c r="L53" s="41" t="str">
        <x:f>IF(A53="","",IF(AND(ISNUMBER(I53),K53&lt;&gt;"",OR(J53="NET_CLASS_CHANGE",AND(OR(J53="GROSS_TRANSITION",J53="STOCK_AREA"),I53&gt;=0))),"COMPLETE","HOLD: INPUT / TYPE"))</x:f>
      </x:c>
    </x:row>
    <x:row r="54" ht="23" customHeight="1">
      <x:c r="A54" s="38"/>
      <x:c r="B54" s="36"/>
      <x:c r="C54" s="36"/>
      <x:c r="D54" s="36"/>
      <x:c r="E54" s="36"/>
      <x:c r="F54" s="36"/>
      <x:c r="G54" s="36"/>
      <x:c r="H54" s="36"/>
      <x:c r="I54" s="41" t="str">
        <x:f>IF(A54="","",IF(E54="PIXELS",IF(COUNT(F54:G54)=2,IF(AND(F54&gt;=0,G54&gt;0),F54*G54/Profile!$B$15,""),""),IF(E54="AREA",IF(ISNUMBER(H54),H54,""),"")))</x:f>
      </x:c>
      <x:c r="J54" s="36"/>
      <x:c r="K54" s="36"/>
      <x:c r="L54" s="41" t="str">
        <x:f>IF(A54="","",IF(AND(ISNUMBER(I54),K54&lt;&gt;"",OR(J54="NET_CLASS_CHANGE",AND(OR(J54="GROSS_TRANSITION",J54="STOCK_AREA"),I54&gt;=0))),"COMPLETE","HOLD: INPUT / TYPE"))</x:f>
      </x:c>
    </x:row>
    <x:row r="55" ht="23" customHeight="1">
      <x:c r="A55" s="38"/>
      <x:c r="B55" s="36"/>
      <x:c r="C55" s="36"/>
      <x:c r="D55" s="36"/>
      <x:c r="E55" s="36"/>
      <x:c r="F55" s="36"/>
      <x:c r="G55" s="36"/>
      <x:c r="H55" s="36"/>
      <x:c r="I55" s="41" t="str">
        <x:f>IF(A55="","",IF(E55="PIXELS",IF(COUNT(F55:G55)=2,IF(AND(F55&gt;=0,G55&gt;0),F55*G55/Profile!$B$15,""),""),IF(E55="AREA",IF(ISNUMBER(H55),H55,""),"")))</x:f>
      </x:c>
      <x:c r="J55" s="36"/>
      <x:c r="K55" s="36"/>
      <x:c r="L55" s="41" t="str">
        <x:f>IF(A55="","",IF(AND(ISNUMBER(I55),K55&lt;&gt;"",OR(J55="NET_CLASS_CHANGE",AND(OR(J55="GROSS_TRANSITION",J55="STOCK_AREA"),I55&gt;=0))),"COMPLETE","HOLD: INPUT / TYPE"))</x:f>
      </x:c>
    </x:row>
  </x:sheetData>
  <x:mergeCells>
    <x:mergeCell ref="A1:L2"/>
    <x:mergeCell ref="A3:L4"/>
  </x:mergeCells>
  <x:conditionalFormatting sqref="L6:L55">
    <x:cfRule type="expression" dxfId="0" priority="1">
      <x:formula>LEFT(L6,4)="HOLD"</x:formula>
    </x:cfRule>
  </x:conditionalFormatting>
  <x:dataValidations count="2">
    <x:dataValidation type="list" sqref="E6:E55">
      <x:formula1>"PIXELS,AREA"</x:formula1>
    </x:dataValidation>
    <x:dataValidation type="list" sqref="J6:J55">
      <x:formula1>"GROSS_TRANSITION,NET_CLASS_CHANGE,STOCK_AREA"</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Carbon reference and conversion</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BIOMASS uses Mg dry biomass/ha and a documented fraction; CARBON uses Mg C/ha. CO2E is an already characterized t CO2e/ha input. Density is not a period outcome.</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Factor ID</x:v>
      </x:c>
      <x:c r="B5" s="29" t="str">
        <x:v>Product / band / version</x:v>
      </x:c>
      <x:c r="C5" s="29" t="str">
        <x:v>Native quantity</x:v>
      </x:c>
      <x:c r="D5" s="29" t="str">
        <x:v>Native density
b_i OR c_i OR e_i
[declared native unit]</x:v>
      </x:c>
      <x:c r="E5" s="29" t="str">
        <x:v>Carbon fraction
f_C,i
[kg C/kg dry]</x:v>
      </x:c>
      <x:c r="F5" s="29" t="str">
        <x:v>Mg C / ha
c_i
[Mg C/ha]</x:v>
      </x:c>
      <x:c r="G5" s="29" t="str">
        <x:v>CO2 mass equivalent / ha
e_i_stock
[t CO2/ha; CO2E by scope]</x:v>
      </x:c>
      <x:c r="H5" s="29" t="str">
        <x:v>Pool / gas scope</x:v>
      </x:c>
      <x:c r="I5" s="29" t="str">
        <x:v>Epoch</x:v>
      </x:c>
      <x:c r="J5" s="29" t="str">
        <x:v>Evidence ID</x:v>
      </x:c>
      <x:c r="K5" s="29" t="str">
        <x:v>Pathway</x:v>
      </x:c>
      <x:c r="L5" s="29" t="str">
        <x:v>Check</x:v>
      </x:c>
      <x:c r="M5"/>
      <x:c r="N5"/>
      <x:c r="O5"/>
      <x:c r="P5"/>
    </x:row>
    <x:row r="6" ht="23" customHeight="1">
      <x:c r="A6" s="38"/>
      <x:c r="B6" s="36"/>
      <x:c r="C6" s="36"/>
      <x:c r="D6" s="36"/>
      <x:c r="E6" s="36"/>
      <x:c r="F6" s="41" t="str">
        <x:f>IF(A6="","",IF(C6="BIOMASS",IF(COUNT(D6:E6)=2,IF(AND(D6&gt;=0,E6&gt;=0,E6&lt;=1),D6*E6,""),""),IF(C6="CARBON",IF(ISNUMBER(D6),IF(D6&gt;=0,D6,""),""),"")))</x:f>
      </x:c>
      <x:c r="G6" s="41" t="str">
        <x:f>IF(A6="","",IF(C6="CO2E",IF(ISNUMBER(D6),IF(D6&gt;=0,D6,""),""),IF(ISNUMBER(F6),F6*Profile!$B$16,"")))</x:f>
      </x:c>
      <x:c r="H6" s="36"/>
      <x:c r="I6" s="36"/>
      <x:c r="J6" s="36"/>
      <x:c r="K6" s="36"/>
      <x:c r="L6" s="41" t="str">
        <x:f>IF(A6="","",IF(AND(ISNUMBER(G6),J6&lt;&gt;"",H6&lt;&gt;"",OR(K6="A",K6="B",K6="C")),"COMPLETE","HOLD: INPUT / EVIDENCE"))</x:f>
      </x:c>
    </x:row>
    <x:row r="7" ht="23" customHeight="1">
      <x:c r="A7" s="38"/>
      <x:c r="B7" s="36"/>
      <x:c r="C7" s="36"/>
      <x:c r="D7" s="36"/>
      <x:c r="E7" s="36"/>
      <x:c r="F7" s="41" t="str">
        <x:f>IF(A7="","",IF(C7="BIOMASS",IF(COUNT(D7:E7)=2,IF(AND(D7&gt;=0,E7&gt;=0,E7&lt;=1),D7*E7,""),""),IF(C7="CARBON",IF(ISNUMBER(D7),IF(D7&gt;=0,D7,""),""),"")))</x:f>
      </x:c>
      <x:c r="G7" s="41" t="str">
        <x:f>IF(A7="","",IF(C7="CO2E",IF(ISNUMBER(D7),IF(D7&gt;=0,D7,""),""),IF(ISNUMBER(F7),F7*Profile!$B$16,"")))</x:f>
      </x:c>
      <x:c r="H7" s="36"/>
      <x:c r="I7" s="36"/>
      <x:c r="J7" s="36"/>
      <x:c r="K7" s="36"/>
      <x:c r="L7" s="41" t="str">
        <x:f>IF(A7="","",IF(AND(ISNUMBER(G7),J7&lt;&gt;"",H7&lt;&gt;"",OR(K7="A",K7="B",K7="C")),"COMPLETE","HOLD: INPUT / EVIDENCE"))</x:f>
      </x:c>
    </x:row>
    <x:row r="8" ht="23" customHeight="1">
      <x:c r="A8" s="38"/>
      <x:c r="B8" s="36"/>
      <x:c r="C8" s="36"/>
      <x:c r="D8" s="36"/>
      <x:c r="E8" s="36"/>
      <x:c r="F8" s="41" t="str">
        <x:f>IF(A8="","",IF(C8="BIOMASS",IF(COUNT(D8:E8)=2,IF(AND(D8&gt;=0,E8&gt;=0,E8&lt;=1),D8*E8,""),""),IF(C8="CARBON",IF(ISNUMBER(D8),IF(D8&gt;=0,D8,""),""),"")))</x:f>
      </x:c>
      <x:c r="G8" s="41" t="str">
        <x:f>IF(A8="","",IF(C8="CO2E",IF(ISNUMBER(D8),IF(D8&gt;=0,D8,""),""),IF(ISNUMBER(F8),F8*Profile!$B$16,"")))</x:f>
      </x:c>
      <x:c r="H8" s="36"/>
      <x:c r="I8" s="36"/>
      <x:c r="J8" s="36"/>
      <x:c r="K8" s="36"/>
      <x:c r="L8" s="41" t="str">
        <x:f>IF(A8="","",IF(AND(ISNUMBER(G8),J8&lt;&gt;"",H8&lt;&gt;"",OR(K8="A",K8="B",K8="C")),"COMPLETE","HOLD: INPUT / EVIDENCE"))</x:f>
      </x:c>
    </x:row>
    <x:row r="9" ht="23" customHeight="1">
      <x:c r="A9" s="38"/>
      <x:c r="B9" s="36"/>
      <x:c r="C9" s="36"/>
      <x:c r="D9" s="36"/>
      <x:c r="E9" s="36"/>
      <x:c r="F9" s="41" t="str">
        <x:f>IF(A9="","",IF(C9="BIOMASS",IF(COUNT(D9:E9)=2,IF(AND(D9&gt;=0,E9&gt;=0,E9&lt;=1),D9*E9,""),""),IF(C9="CARBON",IF(ISNUMBER(D9),IF(D9&gt;=0,D9,""),""),"")))</x:f>
      </x:c>
      <x:c r="G9" s="41" t="str">
        <x:f>IF(A9="","",IF(C9="CO2E",IF(ISNUMBER(D9),IF(D9&gt;=0,D9,""),""),IF(ISNUMBER(F9),F9*Profile!$B$16,"")))</x:f>
      </x:c>
      <x:c r="H9" s="36"/>
      <x:c r="I9" s="36"/>
      <x:c r="J9" s="36"/>
      <x:c r="K9" s="36"/>
      <x:c r="L9" s="41" t="str">
        <x:f>IF(A9="","",IF(AND(ISNUMBER(G9),J9&lt;&gt;"",H9&lt;&gt;"",OR(K9="A",K9="B",K9="C")),"COMPLETE","HOLD: INPUT / EVIDENCE"))</x:f>
      </x:c>
    </x:row>
    <x:row r="10" ht="23" customHeight="1">
      <x:c r="A10" s="38"/>
      <x:c r="B10" s="36"/>
      <x:c r="C10" s="36"/>
      <x:c r="D10" s="36"/>
      <x:c r="E10" s="36"/>
      <x:c r="F10" s="41" t="str">
        <x:f>IF(A10="","",IF(C10="BIOMASS",IF(COUNT(D10:E10)=2,IF(AND(D10&gt;=0,E10&gt;=0,E10&lt;=1),D10*E10,""),""),IF(C10="CARBON",IF(ISNUMBER(D10),IF(D10&gt;=0,D10,""),""),"")))</x:f>
      </x:c>
      <x:c r="G10" s="41" t="str">
        <x:f>IF(A10="","",IF(C10="CO2E",IF(ISNUMBER(D10),IF(D10&gt;=0,D10,""),""),IF(ISNUMBER(F10),F10*Profile!$B$16,"")))</x:f>
      </x:c>
      <x:c r="H10" s="36"/>
      <x:c r="I10" s="36"/>
      <x:c r="J10" s="36"/>
      <x:c r="K10" s="36"/>
      <x:c r="L10" s="41" t="str">
        <x:f>IF(A10="","",IF(AND(ISNUMBER(G10),J10&lt;&gt;"",H10&lt;&gt;"",OR(K10="A",K10="B",K10="C")),"COMPLETE","HOLD: INPUT / EVIDENCE"))</x:f>
      </x:c>
    </x:row>
    <x:row r="11" ht="23" customHeight="1">
      <x:c r="A11" s="38"/>
      <x:c r="B11" s="36"/>
      <x:c r="C11" s="36"/>
      <x:c r="D11" s="36"/>
      <x:c r="E11" s="36"/>
      <x:c r="F11" s="41" t="str">
        <x:f>IF(A11="","",IF(C11="BIOMASS",IF(COUNT(D11:E11)=2,IF(AND(D11&gt;=0,E11&gt;=0,E11&lt;=1),D11*E11,""),""),IF(C11="CARBON",IF(ISNUMBER(D11),IF(D11&gt;=0,D11,""),""),"")))</x:f>
      </x:c>
      <x:c r="G11" s="41" t="str">
        <x:f>IF(A11="","",IF(C11="CO2E",IF(ISNUMBER(D11),IF(D11&gt;=0,D11,""),""),IF(ISNUMBER(F11),F11*Profile!$B$16,"")))</x:f>
      </x:c>
      <x:c r="H11" s="36"/>
      <x:c r="I11" s="36"/>
      <x:c r="J11" s="36"/>
      <x:c r="K11" s="36"/>
      <x:c r="L11" s="41" t="str">
        <x:f>IF(A11="","",IF(AND(ISNUMBER(G11),J11&lt;&gt;"",H11&lt;&gt;"",OR(K11="A",K11="B",K11="C")),"COMPLETE","HOLD: INPUT / EVIDENCE"))</x:f>
      </x:c>
    </x:row>
    <x:row r="12" ht="23" customHeight="1">
      <x:c r="A12" s="38"/>
      <x:c r="B12" s="36"/>
      <x:c r="C12" s="36"/>
      <x:c r="D12" s="36"/>
      <x:c r="E12" s="36"/>
      <x:c r="F12" s="41" t="str">
        <x:f>IF(A12="","",IF(C12="BIOMASS",IF(COUNT(D12:E12)=2,IF(AND(D12&gt;=0,E12&gt;=0,E12&lt;=1),D12*E12,""),""),IF(C12="CARBON",IF(ISNUMBER(D12),IF(D12&gt;=0,D12,""),""),"")))</x:f>
      </x:c>
      <x:c r="G12" s="41" t="str">
        <x:f>IF(A12="","",IF(C12="CO2E",IF(ISNUMBER(D12),IF(D12&gt;=0,D12,""),""),IF(ISNUMBER(F12),F12*Profile!$B$16,"")))</x:f>
      </x:c>
      <x:c r="H12" s="36"/>
      <x:c r="I12" s="36"/>
      <x:c r="J12" s="36"/>
      <x:c r="K12" s="36"/>
      <x:c r="L12" s="41" t="str">
        <x:f>IF(A12="","",IF(AND(ISNUMBER(G12),J12&lt;&gt;"",H12&lt;&gt;"",OR(K12="A",K12="B",K12="C")),"COMPLETE","HOLD: INPUT / EVIDENCE"))</x:f>
      </x:c>
    </x:row>
    <x:row r="13" ht="23" customHeight="1">
      <x:c r="A13" s="38"/>
      <x:c r="B13" s="36"/>
      <x:c r="C13" s="36"/>
      <x:c r="D13" s="36"/>
      <x:c r="E13" s="36"/>
      <x:c r="F13" s="41" t="str">
        <x:f>IF(A13="","",IF(C13="BIOMASS",IF(COUNT(D13:E13)=2,IF(AND(D13&gt;=0,E13&gt;=0,E13&lt;=1),D13*E13,""),""),IF(C13="CARBON",IF(ISNUMBER(D13),IF(D13&gt;=0,D13,""),""),"")))</x:f>
      </x:c>
      <x:c r="G13" s="41" t="str">
        <x:f>IF(A13="","",IF(C13="CO2E",IF(ISNUMBER(D13),IF(D13&gt;=0,D13,""),""),IF(ISNUMBER(F13),F13*Profile!$B$16,"")))</x:f>
      </x:c>
      <x:c r="H13" s="36"/>
      <x:c r="I13" s="36"/>
      <x:c r="J13" s="36"/>
      <x:c r="K13" s="36"/>
      <x:c r="L13" s="41" t="str">
        <x:f>IF(A13="","",IF(AND(ISNUMBER(G13),J13&lt;&gt;"",H13&lt;&gt;"",OR(K13="A",K13="B",K13="C")),"COMPLETE","HOLD: INPUT / EVIDENCE"))</x:f>
      </x:c>
    </x:row>
    <x:row r="14" ht="23" customHeight="1">
      <x:c r="A14" s="38"/>
      <x:c r="B14" s="36"/>
      <x:c r="C14" s="36"/>
      <x:c r="D14" s="36"/>
      <x:c r="E14" s="36"/>
      <x:c r="F14" s="41" t="str">
        <x:f>IF(A14="","",IF(C14="BIOMASS",IF(COUNT(D14:E14)=2,IF(AND(D14&gt;=0,E14&gt;=0,E14&lt;=1),D14*E14,""),""),IF(C14="CARBON",IF(ISNUMBER(D14),IF(D14&gt;=0,D14,""),""),"")))</x:f>
      </x:c>
      <x:c r="G14" s="41" t="str">
        <x:f>IF(A14="","",IF(C14="CO2E",IF(ISNUMBER(D14),IF(D14&gt;=0,D14,""),""),IF(ISNUMBER(F14),F14*Profile!$B$16,"")))</x:f>
      </x:c>
      <x:c r="H14" s="36"/>
      <x:c r="I14" s="36"/>
      <x:c r="J14" s="36"/>
      <x:c r="K14" s="36"/>
      <x:c r="L14" s="41" t="str">
        <x:f>IF(A14="","",IF(AND(ISNUMBER(G14),J14&lt;&gt;"",H14&lt;&gt;"",OR(K14="A",K14="B",K14="C")),"COMPLETE","HOLD: INPUT / EVIDENCE"))</x:f>
      </x:c>
    </x:row>
    <x:row r="15" ht="23" customHeight="1">
      <x:c r="A15" s="38"/>
      <x:c r="B15" s="36"/>
      <x:c r="C15" s="36"/>
      <x:c r="D15" s="36"/>
      <x:c r="E15" s="36"/>
      <x:c r="F15" s="41" t="str">
        <x:f>IF(A15="","",IF(C15="BIOMASS",IF(COUNT(D15:E15)=2,IF(AND(D15&gt;=0,E15&gt;=0,E15&lt;=1),D15*E15,""),""),IF(C15="CARBON",IF(ISNUMBER(D15),IF(D15&gt;=0,D15,""),""),"")))</x:f>
      </x:c>
      <x:c r="G15" s="41" t="str">
        <x:f>IF(A15="","",IF(C15="CO2E",IF(ISNUMBER(D15),IF(D15&gt;=0,D15,""),""),IF(ISNUMBER(F15),F15*Profile!$B$16,"")))</x:f>
      </x:c>
      <x:c r="H15" s="36"/>
      <x:c r="I15" s="36"/>
      <x:c r="J15" s="36"/>
      <x:c r="K15" s="36"/>
      <x:c r="L15" s="41" t="str">
        <x:f>IF(A15="","",IF(AND(ISNUMBER(G15),J15&lt;&gt;"",H15&lt;&gt;"",OR(K15="A",K15="B",K15="C")),"COMPLETE","HOLD: INPUT / EVIDENCE"))</x:f>
      </x:c>
    </x:row>
    <x:row r="16" ht="23" customHeight="1">
      <x:c r="A16" s="38"/>
      <x:c r="B16" s="36"/>
      <x:c r="C16" s="36"/>
      <x:c r="D16" s="36"/>
      <x:c r="E16" s="36"/>
      <x:c r="F16" s="41" t="str">
        <x:f>IF(A16="","",IF(C16="BIOMASS",IF(COUNT(D16:E16)=2,IF(AND(D16&gt;=0,E16&gt;=0,E16&lt;=1),D16*E16,""),""),IF(C16="CARBON",IF(ISNUMBER(D16),IF(D16&gt;=0,D16,""),""),"")))</x:f>
      </x:c>
      <x:c r="G16" s="41" t="str">
        <x:f>IF(A16="","",IF(C16="CO2E",IF(ISNUMBER(D16),IF(D16&gt;=0,D16,""),""),IF(ISNUMBER(F16),F16*Profile!$B$16,"")))</x:f>
      </x:c>
      <x:c r="H16" s="36"/>
      <x:c r="I16" s="36"/>
      <x:c r="J16" s="36"/>
      <x:c r="K16" s="36"/>
      <x:c r="L16" s="41" t="str">
        <x:f>IF(A16="","",IF(AND(ISNUMBER(G16),J16&lt;&gt;"",H16&lt;&gt;"",OR(K16="A",K16="B",K16="C")),"COMPLETE","HOLD: INPUT / EVIDENCE"))</x:f>
      </x:c>
    </x:row>
    <x:row r="17" ht="23" customHeight="1">
      <x:c r="A17" s="38"/>
      <x:c r="B17" s="36"/>
      <x:c r="C17" s="36"/>
      <x:c r="D17" s="36"/>
      <x:c r="E17" s="36"/>
      <x:c r="F17" s="41" t="str">
        <x:f>IF(A17="","",IF(C17="BIOMASS",IF(COUNT(D17:E17)=2,IF(AND(D17&gt;=0,E17&gt;=0,E17&lt;=1),D17*E17,""),""),IF(C17="CARBON",IF(ISNUMBER(D17),IF(D17&gt;=0,D17,""),""),"")))</x:f>
      </x:c>
      <x:c r="G17" s="41" t="str">
        <x:f>IF(A17="","",IF(C17="CO2E",IF(ISNUMBER(D17),IF(D17&gt;=0,D17,""),""),IF(ISNUMBER(F17),F17*Profile!$B$16,"")))</x:f>
      </x:c>
      <x:c r="H17" s="36"/>
      <x:c r="I17" s="36"/>
      <x:c r="J17" s="36"/>
      <x:c r="K17" s="36"/>
      <x:c r="L17" s="41" t="str">
        <x:f>IF(A17="","",IF(AND(ISNUMBER(G17),J17&lt;&gt;"",H17&lt;&gt;"",OR(K17="A",K17="B",K17="C")),"COMPLETE","HOLD: INPUT / EVIDENCE"))</x:f>
      </x:c>
    </x:row>
    <x:row r="18" ht="23" customHeight="1">
      <x:c r="A18" s="38"/>
      <x:c r="B18" s="36"/>
      <x:c r="C18" s="36"/>
      <x:c r="D18" s="36"/>
      <x:c r="E18" s="36"/>
      <x:c r="F18" s="41" t="str">
        <x:f>IF(A18="","",IF(C18="BIOMASS",IF(COUNT(D18:E18)=2,IF(AND(D18&gt;=0,E18&gt;=0,E18&lt;=1),D18*E18,""),""),IF(C18="CARBON",IF(ISNUMBER(D18),IF(D18&gt;=0,D18,""),""),"")))</x:f>
      </x:c>
      <x:c r="G18" s="41" t="str">
        <x:f>IF(A18="","",IF(C18="CO2E",IF(ISNUMBER(D18),IF(D18&gt;=0,D18,""),""),IF(ISNUMBER(F18),F18*Profile!$B$16,"")))</x:f>
      </x:c>
      <x:c r="H18" s="36"/>
      <x:c r="I18" s="36"/>
      <x:c r="J18" s="36"/>
      <x:c r="K18" s="36"/>
      <x:c r="L18" s="41" t="str">
        <x:f>IF(A18="","",IF(AND(ISNUMBER(G18),J18&lt;&gt;"",H18&lt;&gt;"",OR(K18="A",K18="B",K18="C")),"COMPLETE","HOLD: INPUT / EVIDENCE"))</x:f>
      </x:c>
    </x:row>
    <x:row r="19" ht="23" customHeight="1">
      <x:c r="A19" s="38"/>
      <x:c r="B19" s="36"/>
      <x:c r="C19" s="36"/>
      <x:c r="D19" s="36"/>
      <x:c r="E19" s="36"/>
      <x:c r="F19" s="41" t="str">
        <x:f>IF(A19="","",IF(C19="BIOMASS",IF(COUNT(D19:E19)=2,IF(AND(D19&gt;=0,E19&gt;=0,E19&lt;=1),D19*E19,""),""),IF(C19="CARBON",IF(ISNUMBER(D19),IF(D19&gt;=0,D19,""),""),"")))</x:f>
      </x:c>
      <x:c r="G19" s="41" t="str">
        <x:f>IF(A19="","",IF(C19="CO2E",IF(ISNUMBER(D19),IF(D19&gt;=0,D19,""),""),IF(ISNUMBER(F19),F19*Profile!$B$16,"")))</x:f>
      </x:c>
      <x:c r="H19" s="36"/>
      <x:c r="I19" s="36"/>
      <x:c r="J19" s="36"/>
      <x:c r="K19" s="36"/>
      <x:c r="L19" s="41" t="str">
        <x:f>IF(A19="","",IF(AND(ISNUMBER(G19),J19&lt;&gt;"",H19&lt;&gt;"",OR(K19="A",K19="B",K19="C")),"COMPLETE","HOLD: INPUT / EVIDENCE"))</x:f>
      </x:c>
    </x:row>
    <x:row r="20" ht="23" customHeight="1">
      <x:c r="A20" s="38"/>
      <x:c r="B20" s="36"/>
      <x:c r="C20" s="36"/>
      <x:c r="D20" s="36"/>
      <x:c r="E20" s="36"/>
      <x:c r="F20" s="41" t="str">
        <x:f>IF(A20="","",IF(C20="BIOMASS",IF(COUNT(D20:E20)=2,IF(AND(D20&gt;=0,E20&gt;=0,E20&lt;=1),D20*E20,""),""),IF(C20="CARBON",IF(ISNUMBER(D20),IF(D20&gt;=0,D20,""),""),"")))</x:f>
      </x:c>
      <x:c r="G20" s="41" t="str">
        <x:f>IF(A20="","",IF(C20="CO2E",IF(ISNUMBER(D20),IF(D20&gt;=0,D20,""),""),IF(ISNUMBER(F20),F20*Profile!$B$16,"")))</x:f>
      </x:c>
      <x:c r="H20" s="36"/>
      <x:c r="I20" s="36"/>
      <x:c r="J20" s="36"/>
      <x:c r="K20" s="36"/>
      <x:c r="L20" s="41" t="str">
        <x:f>IF(A20="","",IF(AND(ISNUMBER(G20),J20&lt;&gt;"",H20&lt;&gt;"",OR(K20="A",K20="B",K20="C")),"COMPLETE","HOLD: INPUT / EVIDENCE"))</x:f>
      </x:c>
    </x:row>
    <x:row r="21" ht="23" customHeight="1">
      <x:c r="A21" s="38"/>
      <x:c r="B21" s="36"/>
      <x:c r="C21" s="36"/>
      <x:c r="D21" s="36"/>
      <x:c r="E21" s="36"/>
      <x:c r="F21" s="41" t="str">
        <x:f>IF(A21="","",IF(C21="BIOMASS",IF(COUNT(D21:E21)=2,IF(AND(D21&gt;=0,E21&gt;=0,E21&lt;=1),D21*E21,""),""),IF(C21="CARBON",IF(ISNUMBER(D21),IF(D21&gt;=0,D21,""),""),"")))</x:f>
      </x:c>
      <x:c r="G21" s="41" t="str">
        <x:f>IF(A21="","",IF(C21="CO2E",IF(ISNUMBER(D21),IF(D21&gt;=0,D21,""),""),IF(ISNUMBER(F21),F21*Profile!$B$16,"")))</x:f>
      </x:c>
      <x:c r="H21" s="36"/>
      <x:c r="I21" s="36"/>
      <x:c r="J21" s="36"/>
      <x:c r="K21" s="36"/>
      <x:c r="L21" s="41" t="str">
        <x:f>IF(A21="","",IF(AND(ISNUMBER(G21),J21&lt;&gt;"",H21&lt;&gt;"",OR(K21="A",K21="B",K21="C")),"COMPLETE","HOLD: INPUT / EVIDENCE"))</x:f>
      </x:c>
    </x:row>
    <x:row r="22" ht="23" customHeight="1">
      <x:c r="A22" s="38"/>
      <x:c r="B22" s="36"/>
      <x:c r="C22" s="36"/>
      <x:c r="D22" s="36"/>
      <x:c r="E22" s="36"/>
      <x:c r="F22" s="41" t="str">
        <x:f>IF(A22="","",IF(C22="BIOMASS",IF(COUNT(D22:E22)=2,IF(AND(D22&gt;=0,E22&gt;=0,E22&lt;=1),D22*E22,""),""),IF(C22="CARBON",IF(ISNUMBER(D22),IF(D22&gt;=0,D22,""),""),"")))</x:f>
      </x:c>
      <x:c r="G22" s="41" t="str">
        <x:f>IF(A22="","",IF(C22="CO2E",IF(ISNUMBER(D22),IF(D22&gt;=0,D22,""),""),IF(ISNUMBER(F22),F22*Profile!$B$16,"")))</x:f>
      </x:c>
      <x:c r="H22" s="36"/>
      <x:c r="I22" s="36"/>
      <x:c r="J22" s="36"/>
      <x:c r="K22" s="36"/>
      <x:c r="L22" s="41" t="str">
        <x:f>IF(A22="","",IF(AND(ISNUMBER(G22),J22&lt;&gt;"",H22&lt;&gt;"",OR(K22="A",K22="B",K22="C")),"COMPLETE","HOLD: INPUT / EVIDENCE"))</x:f>
      </x:c>
    </x:row>
    <x:row r="23" ht="23" customHeight="1">
      <x:c r="A23" s="38"/>
      <x:c r="B23" s="36"/>
      <x:c r="C23" s="36"/>
      <x:c r="D23" s="36"/>
      <x:c r="E23" s="36"/>
      <x:c r="F23" s="41" t="str">
        <x:f>IF(A23="","",IF(C23="BIOMASS",IF(COUNT(D23:E23)=2,IF(AND(D23&gt;=0,E23&gt;=0,E23&lt;=1),D23*E23,""),""),IF(C23="CARBON",IF(ISNUMBER(D23),IF(D23&gt;=0,D23,""),""),"")))</x:f>
      </x:c>
      <x:c r="G23" s="41" t="str">
        <x:f>IF(A23="","",IF(C23="CO2E",IF(ISNUMBER(D23),IF(D23&gt;=0,D23,""),""),IF(ISNUMBER(F23),F23*Profile!$B$16,"")))</x:f>
      </x:c>
      <x:c r="H23" s="36"/>
      <x:c r="I23" s="36"/>
      <x:c r="J23" s="36"/>
      <x:c r="K23" s="36"/>
      <x:c r="L23" s="41" t="str">
        <x:f>IF(A23="","",IF(AND(ISNUMBER(G23),J23&lt;&gt;"",H23&lt;&gt;"",OR(K23="A",K23="B",K23="C")),"COMPLETE","HOLD: INPUT / EVIDENCE"))</x:f>
      </x:c>
    </x:row>
    <x:row r="24" ht="23" customHeight="1">
      <x:c r="A24" s="38"/>
      <x:c r="B24" s="36"/>
      <x:c r="C24" s="36"/>
      <x:c r="D24" s="36"/>
      <x:c r="E24" s="36"/>
      <x:c r="F24" s="41" t="str">
        <x:f>IF(A24="","",IF(C24="BIOMASS",IF(COUNT(D24:E24)=2,IF(AND(D24&gt;=0,E24&gt;=0,E24&lt;=1),D24*E24,""),""),IF(C24="CARBON",IF(ISNUMBER(D24),IF(D24&gt;=0,D24,""),""),"")))</x:f>
      </x:c>
      <x:c r="G24" s="41" t="str">
        <x:f>IF(A24="","",IF(C24="CO2E",IF(ISNUMBER(D24),IF(D24&gt;=0,D24,""),""),IF(ISNUMBER(F24),F24*Profile!$B$16,"")))</x:f>
      </x:c>
      <x:c r="H24" s="36"/>
      <x:c r="I24" s="36"/>
      <x:c r="J24" s="36"/>
      <x:c r="K24" s="36"/>
      <x:c r="L24" s="41" t="str">
        <x:f>IF(A24="","",IF(AND(ISNUMBER(G24),J24&lt;&gt;"",H24&lt;&gt;"",OR(K24="A",K24="B",K24="C")),"COMPLETE","HOLD: INPUT / EVIDENCE"))</x:f>
      </x:c>
    </x:row>
    <x:row r="25" ht="23" customHeight="1">
      <x:c r="A25" s="38"/>
      <x:c r="B25" s="36"/>
      <x:c r="C25" s="36"/>
      <x:c r="D25" s="36"/>
      <x:c r="E25" s="36"/>
      <x:c r="F25" s="41" t="str">
        <x:f>IF(A25="","",IF(C25="BIOMASS",IF(COUNT(D25:E25)=2,IF(AND(D25&gt;=0,E25&gt;=0,E25&lt;=1),D25*E25,""),""),IF(C25="CARBON",IF(ISNUMBER(D25),IF(D25&gt;=0,D25,""),""),"")))</x:f>
      </x:c>
      <x:c r="G25" s="41" t="str">
        <x:f>IF(A25="","",IF(C25="CO2E",IF(ISNUMBER(D25),IF(D25&gt;=0,D25,""),""),IF(ISNUMBER(F25),F25*Profile!$B$16,"")))</x:f>
      </x:c>
      <x:c r="H25" s="36"/>
      <x:c r="I25" s="36"/>
      <x:c r="J25" s="36"/>
      <x:c r="K25" s="36"/>
      <x:c r="L25" s="41" t="str">
        <x:f>IF(A25="","",IF(AND(ISNUMBER(G25),J25&lt;&gt;"",H25&lt;&gt;"",OR(K25="A",K25="B",K25="C")),"COMPLETE","HOLD: INPUT / EVIDENCE"))</x:f>
      </x:c>
    </x:row>
    <x:row r="26" ht="23" customHeight="1">
      <x:c r="A26" s="38"/>
      <x:c r="B26" s="36"/>
      <x:c r="C26" s="36"/>
      <x:c r="D26" s="36"/>
      <x:c r="E26" s="36"/>
      <x:c r="F26" s="41" t="str">
        <x:f>IF(A26="","",IF(C26="BIOMASS",IF(COUNT(D26:E26)=2,IF(AND(D26&gt;=0,E26&gt;=0,E26&lt;=1),D26*E26,""),""),IF(C26="CARBON",IF(ISNUMBER(D26),IF(D26&gt;=0,D26,""),""),"")))</x:f>
      </x:c>
      <x:c r="G26" s="41" t="str">
        <x:f>IF(A26="","",IF(C26="CO2E",IF(ISNUMBER(D26),IF(D26&gt;=0,D26,""),""),IF(ISNUMBER(F26),F26*Profile!$B$16,"")))</x:f>
      </x:c>
      <x:c r="H26" s="36"/>
      <x:c r="I26" s="36"/>
      <x:c r="J26" s="36"/>
      <x:c r="K26" s="36"/>
      <x:c r="L26" s="41" t="str">
        <x:f>IF(A26="","",IF(AND(ISNUMBER(G26),J26&lt;&gt;"",H26&lt;&gt;"",OR(K26="A",K26="B",K26="C")),"COMPLETE","HOLD: INPUT / EVIDENCE"))</x:f>
      </x:c>
    </x:row>
    <x:row r="27" ht="23" customHeight="1">
      <x:c r="A27" s="38"/>
      <x:c r="B27" s="36"/>
      <x:c r="C27" s="36"/>
      <x:c r="D27" s="36"/>
      <x:c r="E27" s="36"/>
      <x:c r="F27" s="41" t="str">
        <x:f>IF(A27="","",IF(C27="BIOMASS",IF(COUNT(D27:E27)=2,IF(AND(D27&gt;=0,E27&gt;=0,E27&lt;=1),D27*E27,""),""),IF(C27="CARBON",IF(ISNUMBER(D27),IF(D27&gt;=0,D27,""),""),"")))</x:f>
      </x:c>
      <x:c r="G27" s="41" t="str">
        <x:f>IF(A27="","",IF(C27="CO2E",IF(ISNUMBER(D27),IF(D27&gt;=0,D27,""),""),IF(ISNUMBER(F27),F27*Profile!$B$16,"")))</x:f>
      </x:c>
      <x:c r="H27" s="36"/>
      <x:c r="I27" s="36"/>
      <x:c r="J27" s="36"/>
      <x:c r="K27" s="36"/>
      <x:c r="L27" s="41" t="str">
        <x:f>IF(A27="","",IF(AND(ISNUMBER(G27),J27&lt;&gt;"",H27&lt;&gt;"",OR(K27="A",K27="B",K27="C")),"COMPLETE","HOLD: INPUT / EVIDENCE"))</x:f>
      </x:c>
    </x:row>
    <x:row r="28" ht="23" customHeight="1">
      <x:c r="A28" s="38"/>
      <x:c r="B28" s="36"/>
      <x:c r="C28" s="36"/>
      <x:c r="D28" s="36"/>
      <x:c r="E28" s="36"/>
      <x:c r="F28" s="41" t="str">
        <x:f>IF(A28="","",IF(C28="BIOMASS",IF(COUNT(D28:E28)=2,IF(AND(D28&gt;=0,E28&gt;=0,E28&lt;=1),D28*E28,""),""),IF(C28="CARBON",IF(ISNUMBER(D28),IF(D28&gt;=0,D28,""),""),"")))</x:f>
      </x:c>
      <x:c r="G28" s="41" t="str">
        <x:f>IF(A28="","",IF(C28="CO2E",IF(ISNUMBER(D28),IF(D28&gt;=0,D28,""),""),IF(ISNUMBER(F28),F28*Profile!$B$16,"")))</x:f>
      </x:c>
      <x:c r="H28" s="36"/>
      <x:c r="I28" s="36"/>
      <x:c r="J28" s="36"/>
      <x:c r="K28" s="36"/>
      <x:c r="L28" s="41" t="str">
        <x:f>IF(A28="","",IF(AND(ISNUMBER(G28),J28&lt;&gt;"",H28&lt;&gt;"",OR(K28="A",K28="B",K28="C")),"COMPLETE","HOLD: INPUT / EVIDENCE"))</x:f>
      </x:c>
    </x:row>
    <x:row r="29" ht="23" customHeight="1">
      <x:c r="A29" s="38"/>
      <x:c r="B29" s="36"/>
      <x:c r="C29" s="36"/>
      <x:c r="D29" s="36"/>
      <x:c r="E29" s="36"/>
      <x:c r="F29" s="41" t="str">
        <x:f>IF(A29="","",IF(C29="BIOMASS",IF(COUNT(D29:E29)=2,IF(AND(D29&gt;=0,E29&gt;=0,E29&lt;=1),D29*E29,""),""),IF(C29="CARBON",IF(ISNUMBER(D29),IF(D29&gt;=0,D29,""),""),"")))</x:f>
      </x:c>
      <x:c r="G29" s="41" t="str">
        <x:f>IF(A29="","",IF(C29="CO2E",IF(ISNUMBER(D29),IF(D29&gt;=0,D29,""),""),IF(ISNUMBER(F29),F29*Profile!$B$16,"")))</x:f>
      </x:c>
      <x:c r="H29" s="36"/>
      <x:c r="I29" s="36"/>
      <x:c r="J29" s="36"/>
      <x:c r="K29" s="36"/>
      <x:c r="L29" s="41" t="str">
        <x:f>IF(A29="","",IF(AND(ISNUMBER(G29),J29&lt;&gt;"",H29&lt;&gt;"",OR(K29="A",K29="B",K29="C")),"COMPLETE","HOLD: INPUT / EVIDENCE"))</x:f>
      </x:c>
    </x:row>
    <x:row r="30" ht="23" customHeight="1">
      <x:c r="A30" s="38"/>
      <x:c r="B30" s="36"/>
      <x:c r="C30" s="36"/>
      <x:c r="D30" s="36"/>
      <x:c r="E30" s="36"/>
      <x:c r="F30" s="41" t="str">
        <x:f>IF(A30="","",IF(C30="BIOMASS",IF(COUNT(D30:E30)=2,IF(AND(D30&gt;=0,E30&gt;=0,E30&lt;=1),D30*E30,""),""),IF(C30="CARBON",IF(ISNUMBER(D30),IF(D30&gt;=0,D30,""),""),"")))</x:f>
      </x:c>
      <x:c r="G30" s="41" t="str">
        <x:f>IF(A30="","",IF(C30="CO2E",IF(ISNUMBER(D30),IF(D30&gt;=0,D30,""),""),IF(ISNUMBER(F30),F30*Profile!$B$16,"")))</x:f>
      </x:c>
      <x:c r="H30" s="36"/>
      <x:c r="I30" s="36"/>
      <x:c r="J30" s="36"/>
      <x:c r="K30" s="36"/>
      <x:c r="L30" s="41" t="str">
        <x:f>IF(A30="","",IF(AND(ISNUMBER(G30),J30&lt;&gt;"",H30&lt;&gt;"",OR(K30="A",K30="B",K30="C")),"COMPLETE","HOLD: INPUT / EVIDENCE"))</x:f>
      </x:c>
    </x:row>
    <x:row r="31" ht="23" customHeight="1">
      <x:c r="A31" s="38"/>
      <x:c r="B31" s="36"/>
      <x:c r="C31" s="36"/>
      <x:c r="D31" s="36"/>
      <x:c r="E31" s="36"/>
      <x:c r="F31" s="41" t="str">
        <x:f>IF(A31="","",IF(C31="BIOMASS",IF(COUNT(D31:E31)=2,IF(AND(D31&gt;=0,E31&gt;=0,E31&lt;=1),D31*E31,""),""),IF(C31="CARBON",IF(ISNUMBER(D31),IF(D31&gt;=0,D31,""),""),"")))</x:f>
      </x:c>
      <x:c r="G31" s="41" t="str">
        <x:f>IF(A31="","",IF(C31="CO2E",IF(ISNUMBER(D31),IF(D31&gt;=0,D31,""),""),IF(ISNUMBER(F31),F31*Profile!$B$16,"")))</x:f>
      </x:c>
      <x:c r="H31" s="36"/>
      <x:c r="I31" s="36"/>
      <x:c r="J31" s="36"/>
      <x:c r="K31" s="36"/>
      <x:c r="L31" s="41" t="str">
        <x:f>IF(A31="","",IF(AND(ISNUMBER(G31),J31&lt;&gt;"",H31&lt;&gt;"",OR(K31="A",K31="B",K31="C")),"COMPLETE","HOLD: INPUT / EVIDENCE"))</x:f>
      </x:c>
    </x:row>
    <x:row r="32" ht="23" customHeight="1">
      <x:c r="A32" s="38"/>
      <x:c r="B32" s="36"/>
      <x:c r="C32" s="36"/>
      <x:c r="D32" s="36"/>
      <x:c r="E32" s="36"/>
      <x:c r="F32" s="41" t="str">
        <x:f>IF(A32="","",IF(C32="BIOMASS",IF(COUNT(D32:E32)=2,IF(AND(D32&gt;=0,E32&gt;=0,E32&lt;=1),D32*E32,""),""),IF(C32="CARBON",IF(ISNUMBER(D32),IF(D32&gt;=0,D32,""),""),"")))</x:f>
      </x:c>
      <x:c r="G32" s="41" t="str">
        <x:f>IF(A32="","",IF(C32="CO2E",IF(ISNUMBER(D32),IF(D32&gt;=0,D32,""),""),IF(ISNUMBER(F32),F32*Profile!$B$16,"")))</x:f>
      </x:c>
      <x:c r="H32" s="36"/>
      <x:c r="I32" s="36"/>
      <x:c r="J32" s="36"/>
      <x:c r="K32" s="36"/>
      <x:c r="L32" s="41" t="str">
        <x:f>IF(A32="","",IF(AND(ISNUMBER(G32),J32&lt;&gt;"",H32&lt;&gt;"",OR(K32="A",K32="B",K32="C")),"COMPLETE","HOLD: INPUT / EVIDENCE"))</x:f>
      </x:c>
    </x:row>
    <x:row r="33" ht="23" customHeight="1">
      <x:c r="A33" s="38"/>
      <x:c r="B33" s="36"/>
      <x:c r="C33" s="36"/>
      <x:c r="D33" s="36"/>
      <x:c r="E33" s="36"/>
      <x:c r="F33" s="41" t="str">
        <x:f>IF(A33="","",IF(C33="BIOMASS",IF(COUNT(D33:E33)=2,IF(AND(D33&gt;=0,E33&gt;=0,E33&lt;=1),D33*E33,""),""),IF(C33="CARBON",IF(ISNUMBER(D33),IF(D33&gt;=0,D33,""),""),"")))</x:f>
      </x:c>
      <x:c r="G33" s="41" t="str">
        <x:f>IF(A33="","",IF(C33="CO2E",IF(ISNUMBER(D33),IF(D33&gt;=0,D33,""),""),IF(ISNUMBER(F33),F33*Profile!$B$16,"")))</x:f>
      </x:c>
      <x:c r="H33" s="36"/>
      <x:c r="I33" s="36"/>
      <x:c r="J33" s="36"/>
      <x:c r="K33" s="36"/>
      <x:c r="L33" s="41" t="str">
        <x:f>IF(A33="","",IF(AND(ISNUMBER(G33),J33&lt;&gt;"",H33&lt;&gt;"",OR(K33="A",K33="B",K33="C")),"COMPLETE","HOLD: INPUT / EVIDENCE"))</x:f>
      </x:c>
    </x:row>
    <x:row r="34" ht="23" customHeight="1">
      <x:c r="A34" s="38"/>
      <x:c r="B34" s="36"/>
      <x:c r="C34" s="36"/>
      <x:c r="D34" s="36"/>
      <x:c r="E34" s="36"/>
      <x:c r="F34" s="41" t="str">
        <x:f>IF(A34="","",IF(C34="BIOMASS",IF(COUNT(D34:E34)=2,IF(AND(D34&gt;=0,E34&gt;=0,E34&lt;=1),D34*E34,""),""),IF(C34="CARBON",IF(ISNUMBER(D34),IF(D34&gt;=0,D34,""),""),"")))</x:f>
      </x:c>
      <x:c r="G34" s="41" t="str">
        <x:f>IF(A34="","",IF(C34="CO2E",IF(ISNUMBER(D34),IF(D34&gt;=0,D34,""),""),IF(ISNUMBER(F34),F34*Profile!$B$16,"")))</x:f>
      </x:c>
      <x:c r="H34" s="36"/>
      <x:c r="I34" s="36"/>
      <x:c r="J34" s="36"/>
      <x:c r="K34" s="36"/>
      <x:c r="L34" s="41" t="str">
        <x:f>IF(A34="","",IF(AND(ISNUMBER(G34),J34&lt;&gt;"",H34&lt;&gt;"",OR(K34="A",K34="B",K34="C")),"COMPLETE","HOLD: INPUT / EVIDENCE"))</x:f>
      </x:c>
    </x:row>
    <x:row r="35" ht="23" customHeight="1">
      <x:c r="A35" s="38"/>
      <x:c r="B35" s="36"/>
      <x:c r="C35" s="36"/>
      <x:c r="D35" s="36"/>
      <x:c r="E35" s="36"/>
      <x:c r="F35" s="41" t="str">
        <x:f>IF(A35="","",IF(C35="BIOMASS",IF(COUNT(D35:E35)=2,IF(AND(D35&gt;=0,E35&gt;=0,E35&lt;=1),D35*E35,""),""),IF(C35="CARBON",IF(ISNUMBER(D35),IF(D35&gt;=0,D35,""),""),"")))</x:f>
      </x:c>
      <x:c r="G35" s="41" t="str">
        <x:f>IF(A35="","",IF(C35="CO2E",IF(ISNUMBER(D35),IF(D35&gt;=0,D35,""),""),IF(ISNUMBER(F35),F35*Profile!$B$16,"")))</x:f>
      </x:c>
      <x:c r="H35" s="36"/>
      <x:c r="I35" s="36"/>
      <x:c r="J35" s="36"/>
      <x:c r="K35" s="36"/>
      <x:c r="L35" s="41" t="str">
        <x:f>IF(A35="","",IF(AND(ISNUMBER(G35),J35&lt;&gt;"",H35&lt;&gt;"",OR(K35="A",K35="B",K35="C")),"COMPLETE","HOLD: INPUT / EVIDENCE"))</x:f>
      </x:c>
    </x:row>
    <x:row r="36" ht="23" customHeight="1">
      <x:c r="A36" s="38"/>
      <x:c r="B36" s="36"/>
      <x:c r="C36" s="36"/>
      <x:c r="D36" s="36"/>
      <x:c r="E36" s="36"/>
      <x:c r="F36" s="41" t="str">
        <x:f>IF(A36="","",IF(C36="BIOMASS",IF(COUNT(D36:E36)=2,IF(AND(D36&gt;=0,E36&gt;=0,E36&lt;=1),D36*E36,""),""),IF(C36="CARBON",IF(ISNUMBER(D36),IF(D36&gt;=0,D36,""),""),"")))</x:f>
      </x:c>
      <x:c r="G36" s="41" t="str">
        <x:f>IF(A36="","",IF(C36="CO2E",IF(ISNUMBER(D36),IF(D36&gt;=0,D36,""),""),IF(ISNUMBER(F36),F36*Profile!$B$16,"")))</x:f>
      </x:c>
      <x:c r="H36" s="36"/>
      <x:c r="I36" s="36"/>
      <x:c r="J36" s="36"/>
      <x:c r="K36" s="36"/>
      <x:c r="L36" s="41" t="str">
        <x:f>IF(A36="","",IF(AND(ISNUMBER(G36),J36&lt;&gt;"",H36&lt;&gt;"",OR(K36="A",K36="B",K36="C")),"COMPLETE","HOLD: INPUT / EVIDENCE"))</x:f>
      </x:c>
    </x:row>
    <x:row r="37" ht="23" customHeight="1">
      <x:c r="A37" s="38"/>
      <x:c r="B37" s="36"/>
      <x:c r="C37" s="36"/>
      <x:c r="D37" s="36"/>
      <x:c r="E37" s="36"/>
      <x:c r="F37" s="41" t="str">
        <x:f>IF(A37="","",IF(C37="BIOMASS",IF(COUNT(D37:E37)=2,IF(AND(D37&gt;=0,E37&gt;=0,E37&lt;=1),D37*E37,""),""),IF(C37="CARBON",IF(ISNUMBER(D37),IF(D37&gt;=0,D37,""),""),"")))</x:f>
      </x:c>
      <x:c r="G37" s="41" t="str">
        <x:f>IF(A37="","",IF(C37="CO2E",IF(ISNUMBER(D37),IF(D37&gt;=0,D37,""),""),IF(ISNUMBER(F37),F37*Profile!$B$16,"")))</x:f>
      </x:c>
      <x:c r="H37" s="36"/>
      <x:c r="I37" s="36"/>
      <x:c r="J37" s="36"/>
      <x:c r="K37" s="36"/>
      <x:c r="L37" s="41" t="str">
        <x:f>IF(A37="","",IF(AND(ISNUMBER(G37),J37&lt;&gt;"",H37&lt;&gt;"",OR(K37="A",K37="B",K37="C")),"COMPLETE","HOLD: INPUT / EVIDENCE"))</x:f>
      </x:c>
    </x:row>
    <x:row r="38" ht="23" customHeight="1">
      <x:c r="A38" s="38"/>
      <x:c r="B38" s="36"/>
      <x:c r="C38" s="36"/>
      <x:c r="D38" s="36"/>
      <x:c r="E38" s="36"/>
      <x:c r="F38" s="41" t="str">
        <x:f>IF(A38="","",IF(C38="BIOMASS",IF(COUNT(D38:E38)=2,IF(AND(D38&gt;=0,E38&gt;=0,E38&lt;=1),D38*E38,""),""),IF(C38="CARBON",IF(ISNUMBER(D38),IF(D38&gt;=0,D38,""),""),"")))</x:f>
      </x:c>
      <x:c r="G38" s="41" t="str">
        <x:f>IF(A38="","",IF(C38="CO2E",IF(ISNUMBER(D38),IF(D38&gt;=0,D38,""),""),IF(ISNUMBER(F38),F38*Profile!$B$16,"")))</x:f>
      </x:c>
      <x:c r="H38" s="36"/>
      <x:c r="I38" s="36"/>
      <x:c r="J38" s="36"/>
      <x:c r="K38" s="36"/>
      <x:c r="L38" s="41" t="str">
        <x:f>IF(A38="","",IF(AND(ISNUMBER(G38),J38&lt;&gt;"",H38&lt;&gt;"",OR(K38="A",K38="B",K38="C")),"COMPLETE","HOLD: INPUT / EVIDENCE"))</x:f>
      </x:c>
    </x:row>
    <x:row r="39" ht="23" customHeight="1">
      <x:c r="A39" s="38"/>
      <x:c r="B39" s="36"/>
      <x:c r="C39" s="36"/>
      <x:c r="D39" s="36"/>
      <x:c r="E39" s="36"/>
      <x:c r="F39" s="41" t="str">
        <x:f>IF(A39="","",IF(C39="BIOMASS",IF(COUNT(D39:E39)=2,IF(AND(D39&gt;=0,E39&gt;=0,E39&lt;=1),D39*E39,""),""),IF(C39="CARBON",IF(ISNUMBER(D39),IF(D39&gt;=0,D39,""),""),"")))</x:f>
      </x:c>
      <x:c r="G39" s="41" t="str">
        <x:f>IF(A39="","",IF(C39="CO2E",IF(ISNUMBER(D39),IF(D39&gt;=0,D39,""),""),IF(ISNUMBER(F39),F39*Profile!$B$16,"")))</x:f>
      </x:c>
      <x:c r="H39" s="36"/>
      <x:c r="I39" s="36"/>
      <x:c r="J39" s="36"/>
      <x:c r="K39" s="36"/>
      <x:c r="L39" s="41" t="str">
        <x:f>IF(A39="","",IF(AND(ISNUMBER(G39),J39&lt;&gt;"",H39&lt;&gt;"",OR(K39="A",K39="B",K39="C")),"COMPLETE","HOLD: INPUT / EVIDENCE"))</x:f>
      </x:c>
    </x:row>
    <x:row r="40" ht="23" customHeight="1">
      <x:c r="A40" s="38"/>
      <x:c r="B40" s="36"/>
      <x:c r="C40" s="36"/>
      <x:c r="D40" s="36"/>
      <x:c r="E40" s="36"/>
      <x:c r="F40" s="41" t="str">
        <x:f>IF(A40="","",IF(C40="BIOMASS",IF(COUNT(D40:E40)=2,IF(AND(D40&gt;=0,E40&gt;=0,E40&lt;=1),D40*E40,""),""),IF(C40="CARBON",IF(ISNUMBER(D40),IF(D40&gt;=0,D40,""),""),"")))</x:f>
      </x:c>
      <x:c r="G40" s="41" t="str">
        <x:f>IF(A40="","",IF(C40="CO2E",IF(ISNUMBER(D40),IF(D40&gt;=0,D40,""),""),IF(ISNUMBER(F40),F40*Profile!$B$16,"")))</x:f>
      </x:c>
      <x:c r="H40" s="36"/>
      <x:c r="I40" s="36"/>
      <x:c r="J40" s="36"/>
      <x:c r="K40" s="36"/>
      <x:c r="L40" s="41" t="str">
        <x:f>IF(A40="","",IF(AND(ISNUMBER(G40),J40&lt;&gt;"",H40&lt;&gt;"",OR(K40="A",K40="B",K40="C")),"COMPLETE","HOLD: INPUT / EVIDENCE"))</x:f>
      </x:c>
    </x:row>
    <x:row r="41" ht="23" customHeight="1">
      <x:c r="A41" s="38"/>
      <x:c r="B41" s="36"/>
      <x:c r="C41" s="36"/>
      <x:c r="D41" s="36"/>
      <x:c r="E41" s="36"/>
      <x:c r="F41" s="41" t="str">
        <x:f>IF(A41="","",IF(C41="BIOMASS",IF(COUNT(D41:E41)=2,IF(AND(D41&gt;=0,E41&gt;=0,E41&lt;=1),D41*E41,""),""),IF(C41="CARBON",IF(ISNUMBER(D41),IF(D41&gt;=0,D41,""),""),"")))</x:f>
      </x:c>
      <x:c r="G41" s="41" t="str">
        <x:f>IF(A41="","",IF(C41="CO2E",IF(ISNUMBER(D41),IF(D41&gt;=0,D41,""),""),IF(ISNUMBER(F41),F41*Profile!$B$16,"")))</x:f>
      </x:c>
      <x:c r="H41" s="36"/>
      <x:c r="I41" s="36"/>
      <x:c r="J41" s="36"/>
      <x:c r="K41" s="36"/>
      <x:c r="L41" s="41" t="str">
        <x:f>IF(A41="","",IF(AND(ISNUMBER(G41),J41&lt;&gt;"",H41&lt;&gt;"",OR(K41="A",K41="B",K41="C")),"COMPLETE","HOLD: INPUT / EVIDENCE"))</x:f>
      </x:c>
    </x:row>
    <x:row r="42" ht="23" customHeight="1">
      <x:c r="A42" s="38"/>
      <x:c r="B42" s="36"/>
      <x:c r="C42" s="36"/>
      <x:c r="D42" s="36"/>
      <x:c r="E42" s="36"/>
      <x:c r="F42" s="41" t="str">
        <x:f>IF(A42="","",IF(C42="BIOMASS",IF(COUNT(D42:E42)=2,IF(AND(D42&gt;=0,E42&gt;=0,E42&lt;=1),D42*E42,""),""),IF(C42="CARBON",IF(ISNUMBER(D42),IF(D42&gt;=0,D42,""),""),"")))</x:f>
      </x:c>
      <x:c r="G42" s="41" t="str">
        <x:f>IF(A42="","",IF(C42="CO2E",IF(ISNUMBER(D42),IF(D42&gt;=0,D42,""),""),IF(ISNUMBER(F42),F42*Profile!$B$16,"")))</x:f>
      </x:c>
      <x:c r="H42" s="36"/>
      <x:c r="I42" s="36"/>
      <x:c r="J42" s="36"/>
      <x:c r="K42" s="36"/>
      <x:c r="L42" s="41" t="str">
        <x:f>IF(A42="","",IF(AND(ISNUMBER(G42),J42&lt;&gt;"",H42&lt;&gt;"",OR(K42="A",K42="B",K42="C")),"COMPLETE","HOLD: INPUT / EVIDENCE"))</x:f>
      </x:c>
    </x:row>
    <x:row r="43" ht="23" customHeight="1">
      <x:c r="A43" s="38"/>
      <x:c r="B43" s="36"/>
      <x:c r="C43" s="36"/>
      <x:c r="D43" s="36"/>
      <x:c r="E43" s="36"/>
      <x:c r="F43" s="41" t="str">
        <x:f>IF(A43="","",IF(C43="BIOMASS",IF(COUNT(D43:E43)=2,IF(AND(D43&gt;=0,E43&gt;=0,E43&lt;=1),D43*E43,""),""),IF(C43="CARBON",IF(ISNUMBER(D43),IF(D43&gt;=0,D43,""),""),"")))</x:f>
      </x:c>
      <x:c r="G43" s="41" t="str">
        <x:f>IF(A43="","",IF(C43="CO2E",IF(ISNUMBER(D43),IF(D43&gt;=0,D43,""),""),IF(ISNUMBER(F43),F43*Profile!$B$16,"")))</x:f>
      </x:c>
      <x:c r="H43" s="36"/>
      <x:c r="I43" s="36"/>
      <x:c r="J43" s="36"/>
      <x:c r="K43" s="36"/>
      <x:c r="L43" s="41" t="str">
        <x:f>IF(A43="","",IF(AND(ISNUMBER(G43),J43&lt;&gt;"",H43&lt;&gt;"",OR(K43="A",K43="B",K43="C")),"COMPLETE","HOLD: INPUT / EVIDENCE"))</x:f>
      </x:c>
    </x:row>
    <x:row r="44" ht="23" customHeight="1">
      <x:c r="A44" s="38"/>
      <x:c r="B44" s="36"/>
      <x:c r="C44" s="36"/>
      <x:c r="D44" s="36"/>
      <x:c r="E44" s="36"/>
      <x:c r="F44" s="41" t="str">
        <x:f>IF(A44="","",IF(C44="BIOMASS",IF(COUNT(D44:E44)=2,IF(AND(D44&gt;=0,E44&gt;=0,E44&lt;=1),D44*E44,""),""),IF(C44="CARBON",IF(ISNUMBER(D44),IF(D44&gt;=0,D44,""),""),"")))</x:f>
      </x:c>
      <x:c r="G44" s="41" t="str">
        <x:f>IF(A44="","",IF(C44="CO2E",IF(ISNUMBER(D44),IF(D44&gt;=0,D44,""),""),IF(ISNUMBER(F44),F44*Profile!$B$16,"")))</x:f>
      </x:c>
      <x:c r="H44" s="36"/>
      <x:c r="I44" s="36"/>
      <x:c r="J44" s="36"/>
      <x:c r="K44" s="36"/>
      <x:c r="L44" s="41" t="str">
        <x:f>IF(A44="","",IF(AND(ISNUMBER(G44),J44&lt;&gt;"",H44&lt;&gt;"",OR(K44="A",K44="B",K44="C")),"COMPLETE","HOLD: INPUT / EVIDENCE"))</x:f>
      </x:c>
    </x:row>
    <x:row r="45" ht="23" customHeight="1">
      <x:c r="A45" s="38"/>
      <x:c r="B45" s="36"/>
      <x:c r="C45" s="36"/>
      <x:c r="D45" s="36"/>
      <x:c r="E45" s="36"/>
      <x:c r="F45" s="41" t="str">
        <x:f>IF(A45="","",IF(C45="BIOMASS",IF(COUNT(D45:E45)=2,IF(AND(D45&gt;=0,E45&gt;=0,E45&lt;=1),D45*E45,""),""),IF(C45="CARBON",IF(ISNUMBER(D45),IF(D45&gt;=0,D45,""),""),"")))</x:f>
      </x:c>
      <x:c r="G45" s="41" t="str">
        <x:f>IF(A45="","",IF(C45="CO2E",IF(ISNUMBER(D45),IF(D45&gt;=0,D45,""),""),IF(ISNUMBER(F45),F45*Profile!$B$16,"")))</x:f>
      </x:c>
      <x:c r="H45" s="36"/>
      <x:c r="I45" s="36"/>
      <x:c r="J45" s="36"/>
      <x:c r="K45" s="36"/>
      <x:c r="L45" s="41" t="str">
        <x:f>IF(A45="","",IF(AND(ISNUMBER(G45),J45&lt;&gt;"",H45&lt;&gt;"",OR(K45="A",K45="B",K45="C")),"COMPLETE","HOLD: INPUT / EVIDENCE"))</x:f>
      </x:c>
    </x:row>
    <x:row r="46" ht="23" customHeight="1">
      <x:c r="A46" s="38"/>
      <x:c r="B46" s="36"/>
      <x:c r="C46" s="36"/>
      <x:c r="D46" s="36"/>
      <x:c r="E46" s="36"/>
      <x:c r="F46" s="41" t="str">
        <x:f>IF(A46="","",IF(C46="BIOMASS",IF(COUNT(D46:E46)=2,IF(AND(D46&gt;=0,E46&gt;=0,E46&lt;=1),D46*E46,""),""),IF(C46="CARBON",IF(ISNUMBER(D46),IF(D46&gt;=0,D46,""),""),"")))</x:f>
      </x:c>
      <x:c r="G46" s="41" t="str">
        <x:f>IF(A46="","",IF(C46="CO2E",IF(ISNUMBER(D46),IF(D46&gt;=0,D46,""),""),IF(ISNUMBER(F46),F46*Profile!$B$16,"")))</x:f>
      </x:c>
      <x:c r="H46" s="36"/>
      <x:c r="I46" s="36"/>
      <x:c r="J46" s="36"/>
      <x:c r="K46" s="36"/>
      <x:c r="L46" s="41" t="str">
        <x:f>IF(A46="","",IF(AND(ISNUMBER(G46),J46&lt;&gt;"",H46&lt;&gt;"",OR(K46="A",K46="B",K46="C")),"COMPLETE","HOLD: INPUT / EVIDENCE"))</x:f>
      </x:c>
    </x:row>
    <x:row r="47" ht="23" customHeight="1">
      <x:c r="A47" s="38"/>
      <x:c r="B47" s="36"/>
      <x:c r="C47" s="36"/>
      <x:c r="D47" s="36"/>
      <x:c r="E47" s="36"/>
      <x:c r="F47" s="41" t="str">
        <x:f>IF(A47="","",IF(C47="BIOMASS",IF(COUNT(D47:E47)=2,IF(AND(D47&gt;=0,E47&gt;=0,E47&lt;=1),D47*E47,""),""),IF(C47="CARBON",IF(ISNUMBER(D47),IF(D47&gt;=0,D47,""),""),"")))</x:f>
      </x:c>
      <x:c r="G47" s="41" t="str">
        <x:f>IF(A47="","",IF(C47="CO2E",IF(ISNUMBER(D47),IF(D47&gt;=0,D47,""),""),IF(ISNUMBER(F47),F47*Profile!$B$16,"")))</x:f>
      </x:c>
      <x:c r="H47" s="36"/>
      <x:c r="I47" s="36"/>
      <x:c r="J47" s="36"/>
      <x:c r="K47" s="36"/>
      <x:c r="L47" s="41" t="str">
        <x:f>IF(A47="","",IF(AND(ISNUMBER(G47),J47&lt;&gt;"",H47&lt;&gt;"",OR(K47="A",K47="B",K47="C")),"COMPLETE","HOLD: INPUT / EVIDENCE"))</x:f>
      </x:c>
    </x:row>
    <x:row r="48" ht="23" customHeight="1">
      <x:c r="A48" s="38"/>
      <x:c r="B48" s="36"/>
      <x:c r="C48" s="36"/>
      <x:c r="D48" s="36"/>
      <x:c r="E48" s="36"/>
      <x:c r="F48" s="41" t="str">
        <x:f>IF(A48="","",IF(C48="BIOMASS",IF(COUNT(D48:E48)=2,IF(AND(D48&gt;=0,E48&gt;=0,E48&lt;=1),D48*E48,""),""),IF(C48="CARBON",IF(ISNUMBER(D48),IF(D48&gt;=0,D48,""),""),"")))</x:f>
      </x:c>
      <x:c r="G48" s="41" t="str">
        <x:f>IF(A48="","",IF(C48="CO2E",IF(ISNUMBER(D48),IF(D48&gt;=0,D48,""),""),IF(ISNUMBER(F48),F48*Profile!$B$16,"")))</x:f>
      </x:c>
      <x:c r="H48" s="36"/>
      <x:c r="I48" s="36"/>
      <x:c r="J48" s="36"/>
      <x:c r="K48" s="36"/>
      <x:c r="L48" s="41" t="str">
        <x:f>IF(A48="","",IF(AND(ISNUMBER(G48),J48&lt;&gt;"",H48&lt;&gt;"",OR(K48="A",K48="B",K48="C")),"COMPLETE","HOLD: INPUT / EVIDENCE"))</x:f>
      </x:c>
    </x:row>
    <x:row r="49" ht="23" customHeight="1">
      <x:c r="A49" s="38"/>
      <x:c r="B49" s="36"/>
      <x:c r="C49" s="36"/>
      <x:c r="D49" s="36"/>
      <x:c r="E49" s="36"/>
      <x:c r="F49" s="41" t="str">
        <x:f>IF(A49="","",IF(C49="BIOMASS",IF(COUNT(D49:E49)=2,IF(AND(D49&gt;=0,E49&gt;=0,E49&lt;=1),D49*E49,""),""),IF(C49="CARBON",IF(ISNUMBER(D49),IF(D49&gt;=0,D49,""),""),"")))</x:f>
      </x:c>
      <x:c r="G49" s="41" t="str">
        <x:f>IF(A49="","",IF(C49="CO2E",IF(ISNUMBER(D49),IF(D49&gt;=0,D49,""),""),IF(ISNUMBER(F49),F49*Profile!$B$16,"")))</x:f>
      </x:c>
      <x:c r="H49" s="36"/>
      <x:c r="I49" s="36"/>
      <x:c r="J49" s="36"/>
      <x:c r="K49" s="36"/>
      <x:c r="L49" s="41" t="str">
        <x:f>IF(A49="","",IF(AND(ISNUMBER(G49),J49&lt;&gt;"",H49&lt;&gt;"",OR(K49="A",K49="B",K49="C")),"COMPLETE","HOLD: INPUT / EVIDENCE"))</x:f>
      </x:c>
    </x:row>
    <x:row r="50" ht="23" customHeight="1">
      <x:c r="A50" s="38"/>
      <x:c r="B50" s="36"/>
      <x:c r="C50" s="36"/>
      <x:c r="D50" s="36"/>
      <x:c r="E50" s="36"/>
      <x:c r="F50" s="41" t="str">
        <x:f>IF(A50="","",IF(C50="BIOMASS",IF(COUNT(D50:E50)=2,IF(AND(D50&gt;=0,E50&gt;=0,E50&lt;=1),D50*E50,""),""),IF(C50="CARBON",IF(ISNUMBER(D50),IF(D50&gt;=0,D50,""),""),"")))</x:f>
      </x:c>
      <x:c r="G50" s="41" t="str">
        <x:f>IF(A50="","",IF(C50="CO2E",IF(ISNUMBER(D50),IF(D50&gt;=0,D50,""),""),IF(ISNUMBER(F50),F50*Profile!$B$16,"")))</x:f>
      </x:c>
      <x:c r="H50" s="36"/>
      <x:c r="I50" s="36"/>
      <x:c r="J50" s="36"/>
      <x:c r="K50" s="36"/>
      <x:c r="L50" s="41" t="str">
        <x:f>IF(A50="","",IF(AND(ISNUMBER(G50),J50&lt;&gt;"",H50&lt;&gt;"",OR(K50="A",K50="B",K50="C")),"COMPLETE","HOLD: INPUT / EVIDENCE"))</x:f>
      </x:c>
    </x:row>
    <x:row r="51" ht="23" customHeight="1">
      <x:c r="A51" s="38"/>
      <x:c r="B51" s="36"/>
      <x:c r="C51" s="36"/>
      <x:c r="D51" s="36"/>
      <x:c r="E51" s="36"/>
      <x:c r="F51" s="41" t="str">
        <x:f>IF(A51="","",IF(C51="BIOMASS",IF(COUNT(D51:E51)=2,IF(AND(D51&gt;=0,E51&gt;=0,E51&lt;=1),D51*E51,""),""),IF(C51="CARBON",IF(ISNUMBER(D51),IF(D51&gt;=0,D51,""),""),"")))</x:f>
      </x:c>
      <x:c r="G51" s="41" t="str">
        <x:f>IF(A51="","",IF(C51="CO2E",IF(ISNUMBER(D51),IF(D51&gt;=0,D51,""),""),IF(ISNUMBER(F51),F51*Profile!$B$16,"")))</x:f>
      </x:c>
      <x:c r="H51" s="36"/>
      <x:c r="I51" s="36"/>
      <x:c r="J51" s="36"/>
      <x:c r="K51" s="36"/>
      <x:c r="L51" s="41" t="str">
        <x:f>IF(A51="","",IF(AND(ISNUMBER(G51),J51&lt;&gt;"",H51&lt;&gt;"",OR(K51="A",K51="B",K51="C")),"COMPLETE","HOLD: INPUT / EVIDENCE"))</x:f>
      </x:c>
    </x:row>
    <x:row r="52" ht="23" customHeight="1">
      <x:c r="A52" s="38"/>
      <x:c r="B52" s="36"/>
      <x:c r="C52" s="36"/>
      <x:c r="D52" s="36"/>
      <x:c r="E52" s="36"/>
      <x:c r="F52" s="41" t="str">
        <x:f>IF(A52="","",IF(C52="BIOMASS",IF(COUNT(D52:E52)=2,IF(AND(D52&gt;=0,E52&gt;=0,E52&lt;=1),D52*E52,""),""),IF(C52="CARBON",IF(ISNUMBER(D52),IF(D52&gt;=0,D52,""),""),"")))</x:f>
      </x:c>
      <x:c r="G52" s="41" t="str">
        <x:f>IF(A52="","",IF(C52="CO2E",IF(ISNUMBER(D52),IF(D52&gt;=0,D52,""),""),IF(ISNUMBER(F52),F52*Profile!$B$16,"")))</x:f>
      </x:c>
      <x:c r="H52" s="36"/>
      <x:c r="I52" s="36"/>
      <x:c r="J52" s="36"/>
      <x:c r="K52" s="36"/>
      <x:c r="L52" s="41" t="str">
        <x:f>IF(A52="","",IF(AND(ISNUMBER(G52),J52&lt;&gt;"",H52&lt;&gt;"",OR(K52="A",K52="B",K52="C")),"COMPLETE","HOLD: INPUT / EVIDENCE"))</x:f>
      </x:c>
    </x:row>
    <x:row r="53" ht="23" customHeight="1">
      <x:c r="A53" s="38"/>
      <x:c r="B53" s="36"/>
      <x:c r="C53" s="36"/>
      <x:c r="D53" s="36"/>
      <x:c r="E53" s="36"/>
      <x:c r="F53" s="41" t="str">
        <x:f>IF(A53="","",IF(C53="BIOMASS",IF(COUNT(D53:E53)=2,IF(AND(D53&gt;=0,E53&gt;=0,E53&lt;=1),D53*E53,""),""),IF(C53="CARBON",IF(ISNUMBER(D53),IF(D53&gt;=0,D53,""),""),"")))</x:f>
      </x:c>
      <x:c r="G53" s="41" t="str">
        <x:f>IF(A53="","",IF(C53="CO2E",IF(ISNUMBER(D53),IF(D53&gt;=0,D53,""),""),IF(ISNUMBER(F53),F53*Profile!$B$16,"")))</x:f>
      </x:c>
      <x:c r="H53" s="36"/>
      <x:c r="I53" s="36"/>
      <x:c r="J53" s="36"/>
      <x:c r="K53" s="36"/>
      <x:c r="L53" s="41" t="str">
        <x:f>IF(A53="","",IF(AND(ISNUMBER(G53),J53&lt;&gt;"",H53&lt;&gt;"",OR(K53="A",K53="B",K53="C")),"COMPLETE","HOLD: INPUT / EVIDENCE"))</x:f>
      </x:c>
    </x:row>
    <x:row r="54" ht="23" customHeight="1">
      <x:c r="A54" s="38"/>
      <x:c r="B54" s="36"/>
      <x:c r="C54" s="36"/>
      <x:c r="D54" s="36"/>
      <x:c r="E54" s="36"/>
      <x:c r="F54" s="41" t="str">
        <x:f>IF(A54="","",IF(C54="BIOMASS",IF(COUNT(D54:E54)=2,IF(AND(D54&gt;=0,E54&gt;=0,E54&lt;=1),D54*E54,""),""),IF(C54="CARBON",IF(ISNUMBER(D54),IF(D54&gt;=0,D54,""),""),"")))</x:f>
      </x:c>
      <x:c r="G54" s="41" t="str">
        <x:f>IF(A54="","",IF(C54="CO2E",IF(ISNUMBER(D54),IF(D54&gt;=0,D54,""),""),IF(ISNUMBER(F54),F54*Profile!$B$16,"")))</x:f>
      </x:c>
      <x:c r="H54" s="36"/>
      <x:c r="I54" s="36"/>
      <x:c r="J54" s="36"/>
      <x:c r="K54" s="36"/>
      <x:c r="L54" s="41" t="str">
        <x:f>IF(A54="","",IF(AND(ISNUMBER(G54),J54&lt;&gt;"",H54&lt;&gt;"",OR(K54="A",K54="B",K54="C")),"COMPLETE","HOLD: INPUT / EVIDENCE"))</x:f>
      </x:c>
    </x:row>
    <x:row r="55" ht="23" customHeight="1">
      <x:c r="A55" s="38"/>
      <x:c r="B55" s="36"/>
      <x:c r="C55" s="36"/>
      <x:c r="D55" s="36"/>
      <x:c r="E55" s="36"/>
      <x:c r="F55" s="41" t="str">
        <x:f>IF(A55="","",IF(C55="BIOMASS",IF(COUNT(D55:E55)=2,IF(AND(D55&gt;=0,E55&gt;=0,E55&lt;=1),D55*E55,""),""),IF(C55="CARBON",IF(ISNUMBER(D55),IF(D55&gt;=0,D55,""),""),"")))</x:f>
      </x:c>
      <x:c r="G55" s="41" t="str">
        <x:f>IF(A55="","",IF(C55="CO2E",IF(ISNUMBER(D55),IF(D55&gt;=0,D55,""),""),IF(ISNUMBER(F55),F55*Profile!$B$16,"")))</x:f>
      </x:c>
      <x:c r="H55" s="36"/>
      <x:c r="I55" s="36"/>
      <x:c r="J55" s="36"/>
      <x:c r="K55" s="36"/>
      <x:c r="L55" s="41" t="str">
        <x:f>IF(A55="","",IF(AND(ISNUMBER(G55),J55&lt;&gt;"",H55&lt;&gt;"",OR(K55="A",K55="B",K55="C")),"COMPLETE","HOLD: INPUT / EVIDENCE"))</x:f>
      </x:c>
    </x:row>
  </x:sheetData>
  <x:mergeCells>
    <x:mergeCell ref="A1:L2"/>
    <x:mergeCell ref="A3:L4"/>
  </x:mergeCells>
  <x:conditionalFormatting sqref="L6:L55">
    <x:cfRule type="expression" dxfId="1" priority="1">
      <x:formula>LEFT(L6,4)="HOLD"</x:formula>
    </x:cfRule>
  </x:conditionalFormatting>
  <x:dataValidations count="2">
    <x:dataValidation type="list" sqref="C6:C55">
      <x:formula1>"BIOMASS,CARBON,CO2E"</x:formula1>
    </x:dataValidation>
    <x:dataValidation type="list" sqref="K6:K55">
      <x:formula1>"A,B,C"</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21" t="str">
        <x:v>Scenario components</x:v>
      </x:c>
      <x:c r="B1" s="21"/>
      <x:c r="C1" s="21"/>
      <x:c r="D1" s="21"/>
      <x:c r="E1" s="21"/>
      <x:c r="F1" s="21"/>
      <x:c r="G1" s="21"/>
      <x:c r="H1" s="21"/>
      <x:c r="I1" s="21"/>
      <x:c r="J1" s="21"/>
      <x:c r="K1" s="21"/>
      <x:c r="L1" s="21"/>
      <x:c r="M1" s="21"/>
      <x:c r="N1" s="21"/>
    </x:row>
    <x:row r="2" ht="23" customHeight="1">
      <x:c r="A2" s="21"/>
      <x:c r="B2" s="21"/>
      <x:c r="C2" s="21"/>
      <x:c r="D2" s="21"/>
      <x:c r="E2" s="21"/>
      <x:c r="F2" s="21"/>
      <x:c r="G2" s="21"/>
      <x:c r="H2" s="21"/>
      <x:c r="I2" s="21"/>
      <x:c r="J2" s="21"/>
      <x:c r="K2" s="21"/>
      <x:c r="L2" s="21"/>
      <x:c r="M2" s="21"/>
      <x:c r="N2" s="21"/>
    </x:row>
    <x:row r="3" ht="23" customHeight="1">
      <x:c r="A3" s="25" t="str">
        <x:v>BL = net baseline emissions; PJ = net project emissions; LK = attributable leakage. Use signed quantities consistently. For a precomputed mass use an explicit factor 1 and identify its upstream calculation. Do not subtract PJ twice from a baseline-minus-project subtotal.</x:v>
      </x:c>
      <x:c r="B3" s="25"/>
      <x:c r="C3" s="25"/>
      <x:c r="D3" s="25"/>
      <x:c r="E3" s="25"/>
      <x:c r="F3" s="25"/>
      <x:c r="G3" s="25"/>
      <x:c r="H3" s="25"/>
      <x:c r="I3" s="25"/>
      <x:c r="J3" s="25"/>
      <x:c r="K3" s="25"/>
      <x:c r="L3" s="25"/>
      <x:c r="M3" s="25"/>
      <x:c r="N3" s="25"/>
    </x:row>
    <x:row r="4" ht="23" customHeight="1">
      <x:c r="A4" s="25"/>
      <x:c r="B4" s="25"/>
      <x:c r="C4" s="25"/>
      <x:c r="D4" s="25"/>
      <x:c r="E4" s="25"/>
      <x:c r="F4" s="25"/>
      <x:c r="G4" s="25"/>
      <x:c r="H4" s="25"/>
      <x:c r="I4" s="25"/>
      <x:c r="J4" s="25"/>
      <x:c r="K4" s="25"/>
      <x:c r="L4" s="25"/>
      <x:c r="M4" s="25"/>
      <x:c r="N4" s="25"/>
    </x:row>
    <x:row r="5" ht="80" customHeight="1">
      <x:c r="A5" s="29" t="str">
        <x:v>Line ID</x:v>
      </x:c>
      <x:c r="B5" s="29" t="str">
        <x:v>Basis</x:v>
      </x:c>
      <x:c r="C5" s="29" t="str">
        <x:v>Period key</x:v>
      </x:c>
      <x:c r="D5" s="29" t="str">
        <x:v>Account</x:v>
      </x:c>
      <x:c r="E5" s="29" t="str">
        <x:v>Stratum / driver / pool</x:v>
      </x:c>
      <x:c r="F5" s="29" t="str">
        <x:v>Formula / routine ID</x:v>
      </x:c>
      <x:c r="G5" s="29" t="str">
        <x:v>Signed quantity
x_l,s,t
[declared unit]</x:v>
      </x:c>
      <x:c r="H5" s="29" t="str">
        <x:v>Matched factor
f_l,s,t
[t CO2e / input unit]</x:v>
      </x:c>
      <x:c r="I5" s="29" t="str">
        <x:v>Component t CO2e
q_l,s,t
[t CO2e/period]</x:v>
      </x:c>
      <x:c r="J5" s="29" t="str">
        <x:v>Output unit</x:v>
      </x:c>
      <x:c r="K5" s="29" t="str">
        <x:v>Evidence state</x:v>
      </x:c>
      <x:c r="L5" s="29" t="str">
        <x:v>Evidence / scope reference</x:v>
      </x:c>
      <x:c r="M5" s="29" t="str">
        <x:v>Include</x:v>
      </x:c>
      <x:c r="N5" s="29" t="str">
        <x:v>Check</x:v>
      </x:c>
      <x:c r="O5"/>
      <x:c r="P5"/>
    </x:row>
    <x:row r="6" ht="23" customHeight="1">
      <x:c r="A6" s="38"/>
      <x:c r="B6" s="36"/>
      <x:c r="C6" s="36"/>
      <x:c r="D6" s="36"/>
      <x:c r="E6" s="36"/>
      <x:c r="F6" s="36"/>
      <x:c r="G6" s="36"/>
      <x:c r="H6" s="36"/>
      <x:c r="I6" s="41" t="str">
        <x:f>IF(A6="","",IF(COUNT(G6:H6)=2,G6*H6,""))</x:f>
      </x:c>
      <x:c r="J6" s="36"/>
      <x:c r="K6" s="36"/>
      <x:c r="L6" s="36"/>
      <x:c r="M6" s="36"/>
      <x:c r="N6" s="41" t="str">
        <x:f>IF(A6="","",IF(M6="NO","EXCLUDED",IF(AND(COUNTIF($A$6:$A$305,A6)=1,M6="YES",OR(B6="EA",B6="EP"),C6&lt;&gt;"",OR(D6="BL",D6="PJ",D6="LK"),F6&lt;&gt;"",ISNUMBER(I6),J6="t CO2e",K6&lt;&gt;"",L6&lt;&gt;""),"COMPLETE","HOLD: INPUT / EVIDENCE")))</x:f>
      </x:c>
    </x:row>
    <x:row r="7" ht="23" customHeight="1">
      <x:c r="A7" s="38"/>
      <x:c r="B7" s="36"/>
      <x:c r="C7" s="36"/>
      <x:c r="D7" s="36"/>
      <x:c r="E7" s="36"/>
      <x:c r="F7" s="36"/>
      <x:c r="G7" s="36"/>
      <x:c r="H7" s="36"/>
      <x:c r="I7" s="41" t="str">
        <x:f>IF(A7="","",IF(COUNT(G7:H7)=2,G7*H7,""))</x:f>
      </x:c>
      <x:c r="J7" s="36"/>
      <x:c r="K7" s="36"/>
      <x:c r="L7" s="36"/>
      <x:c r="M7" s="36"/>
      <x:c r="N7" s="41" t="str">
        <x:f>IF(A7="","",IF(M7="NO","EXCLUDED",IF(AND(COUNTIF($A$6:$A$305,A7)=1,M7="YES",OR(B7="EA",B7="EP"),C7&lt;&gt;"",OR(D7="BL",D7="PJ",D7="LK"),F7&lt;&gt;"",ISNUMBER(I7),J7="t CO2e",K7&lt;&gt;"",L7&lt;&gt;""),"COMPLETE","HOLD: INPUT / EVIDENCE")))</x:f>
      </x:c>
    </x:row>
    <x:row r="8" ht="23" customHeight="1">
      <x:c r="A8" s="38"/>
      <x:c r="B8" s="36"/>
      <x:c r="C8" s="36"/>
      <x:c r="D8" s="36"/>
      <x:c r="E8" s="36"/>
      <x:c r="F8" s="36"/>
      <x:c r="G8" s="36"/>
      <x:c r="H8" s="36"/>
      <x:c r="I8" s="41" t="str">
        <x:f>IF(A8="","",IF(COUNT(G8:H8)=2,G8*H8,""))</x:f>
      </x:c>
      <x:c r="J8" s="36"/>
      <x:c r="K8" s="36"/>
      <x:c r="L8" s="36"/>
      <x:c r="M8" s="36"/>
      <x:c r="N8" s="41" t="str">
        <x:f>IF(A8="","",IF(M8="NO","EXCLUDED",IF(AND(COUNTIF($A$6:$A$305,A8)=1,M8="YES",OR(B8="EA",B8="EP"),C8&lt;&gt;"",OR(D8="BL",D8="PJ",D8="LK"),F8&lt;&gt;"",ISNUMBER(I8),J8="t CO2e",K8&lt;&gt;"",L8&lt;&gt;""),"COMPLETE","HOLD: INPUT / EVIDENCE")))</x:f>
      </x:c>
    </x:row>
    <x:row r="9" ht="23" customHeight="1">
      <x:c r="A9" s="38"/>
      <x:c r="B9" s="36"/>
      <x:c r="C9" s="36"/>
      <x:c r="D9" s="36"/>
      <x:c r="E9" s="36"/>
      <x:c r="F9" s="36"/>
      <x:c r="G9" s="36"/>
      <x:c r="H9" s="36"/>
      <x:c r="I9" s="41" t="str">
        <x:f>IF(A9="","",IF(COUNT(G9:H9)=2,G9*H9,""))</x:f>
      </x:c>
      <x:c r="J9" s="36"/>
      <x:c r="K9" s="36"/>
      <x:c r="L9" s="36"/>
      <x:c r="M9" s="36"/>
      <x:c r="N9" s="41" t="str">
        <x:f>IF(A9="","",IF(M9="NO","EXCLUDED",IF(AND(COUNTIF($A$6:$A$305,A9)=1,M9="YES",OR(B9="EA",B9="EP"),C9&lt;&gt;"",OR(D9="BL",D9="PJ",D9="LK"),F9&lt;&gt;"",ISNUMBER(I9),J9="t CO2e",K9&lt;&gt;"",L9&lt;&gt;""),"COMPLETE","HOLD: INPUT / EVIDENCE")))</x:f>
      </x:c>
    </x:row>
    <x:row r="10" ht="23" customHeight="1">
      <x:c r="A10" s="38"/>
      <x:c r="B10" s="36"/>
      <x:c r="C10" s="36"/>
      <x:c r="D10" s="36"/>
      <x:c r="E10" s="36"/>
      <x:c r="F10" s="36"/>
      <x:c r="G10" s="36"/>
      <x:c r="H10" s="36"/>
      <x:c r="I10" s="41" t="str">
        <x:f>IF(A10="","",IF(COUNT(G10:H10)=2,G10*H10,""))</x:f>
      </x:c>
      <x:c r="J10" s="36"/>
      <x:c r="K10" s="36"/>
      <x:c r="L10" s="36"/>
      <x:c r="M10" s="36"/>
      <x:c r="N10" s="41" t="str">
        <x:f>IF(A10="","",IF(M10="NO","EXCLUDED",IF(AND(COUNTIF($A$6:$A$305,A10)=1,M10="YES",OR(B10="EA",B10="EP"),C10&lt;&gt;"",OR(D10="BL",D10="PJ",D10="LK"),F10&lt;&gt;"",ISNUMBER(I10),J10="t CO2e",K10&lt;&gt;"",L10&lt;&gt;""),"COMPLETE","HOLD: INPUT / EVIDENCE")))</x:f>
      </x:c>
    </x:row>
    <x:row r="11" ht="23" customHeight="1">
      <x:c r="A11" s="38"/>
      <x:c r="B11" s="36"/>
      <x:c r="C11" s="36"/>
      <x:c r="D11" s="36"/>
      <x:c r="E11" s="36"/>
      <x:c r="F11" s="36"/>
      <x:c r="G11" s="36"/>
      <x:c r="H11" s="36"/>
      <x:c r="I11" s="41" t="str">
        <x:f>IF(A11="","",IF(COUNT(G11:H11)=2,G11*H11,""))</x:f>
      </x:c>
      <x:c r="J11" s="36"/>
      <x:c r="K11" s="36"/>
      <x:c r="L11" s="36"/>
      <x:c r="M11" s="36"/>
      <x:c r="N11" s="41" t="str">
        <x:f>IF(A11="","",IF(M11="NO","EXCLUDED",IF(AND(COUNTIF($A$6:$A$305,A11)=1,M11="YES",OR(B11="EA",B11="EP"),C11&lt;&gt;"",OR(D11="BL",D11="PJ",D11="LK"),F11&lt;&gt;"",ISNUMBER(I11),J11="t CO2e",K11&lt;&gt;"",L11&lt;&gt;""),"COMPLETE","HOLD: INPUT / EVIDENCE")))</x:f>
      </x:c>
    </x:row>
    <x:row r="12" ht="23" customHeight="1">
      <x:c r="A12" s="38"/>
      <x:c r="B12" s="36"/>
      <x:c r="C12" s="36"/>
      <x:c r="D12" s="36"/>
      <x:c r="E12" s="36"/>
      <x:c r="F12" s="36"/>
      <x:c r="G12" s="36"/>
      <x:c r="H12" s="36"/>
      <x:c r="I12" s="41" t="str">
        <x:f>IF(A12="","",IF(COUNT(G12:H12)=2,G12*H12,""))</x:f>
      </x:c>
      <x:c r="J12" s="36"/>
      <x:c r="K12" s="36"/>
      <x:c r="L12" s="36"/>
      <x:c r="M12" s="36"/>
      <x:c r="N12" s="41" t="str">
        <x:f>IF(A12="","",IF(M12="NO","EXCLUDED",IF(AND(COUNTIF($A$6:$A$305,A12)=1,M12="YES",OR(B12="EA",B12="EP"),C12&lt;&gt;"",OR(D12="BL",D12="PJ",D12="LK"),F12&lt;&gt;"",ISNUMBER(I12),J12="t CO2e",K12&lt;&gt;"",L12&lt;&gt;""),"COMPLETE","HOLD: INPUT / EVIDENCE")))</x:f>
      </x:c>
    </x:row>
    <x:row r="13" ht="23" customHeight="1">
      <x:c r="A13" s="38"/>
      <x:c r="B13" s="36"/>
      <x:c r="C13" s="36"/>
      <x:c r="D13" s="36"/>
      <x:c r="E13" s="36"/>
      <x:c r="F13" s="36"/>
      <x:c r="G13" s="36"/>
      <x:c r="H13" s="36"/>
      <x:c r="I13" s="41" t="str">
        <x:f>IF(A13="","",IF(COUNT(G13:H13)=2,G13*H13,""))</x:f>
      </x:c>
      <x:c r="J13" s="36"/>
      <x:c r="K13" s="36"/>
      <x:c r="L13" s="36"/>
      <x:c r="M13" s="36"/>
      <x:c r="N13" s="41" t="str">
        <x:f>IF(A13="","",IF(M13="NO","EXCLUDED",IF(AND(COUNTIF($A$6:$A$305,A13)=1,M13="YES",OR(B13="EA",B13="EP"),C13&lt;&gt;"",OR(D13="BL",D13="PJ",D13="LK"),F13&lt;&gt;"",ISNUMBER(I13),J13="t CO2e",K13&lt;&gt;"",L13&lt;&gt;""),"COMPLETE","HOLD: INPUT / EVIDENCE")))</x:f>
      </x:c>
    </x:row>
    <x:row r="14" ht="23" customHeight="1">
      <x:c r="A14" s="38"/>
      <x:c r="B14" s="36"/>
      <x:c r="C14" s="36"/>
      <x:c r="D14" s="36"/>
      <x:c r="E14" s="36"/>
      <x:c r="F14" s="36"/>
      <x:c r="G14" s="36"/>
      <x:c r="H14" s="36"/>
      <x:c r="I14" s="41" t="str">
        <x:f>IF(A14="","",IF(COUNT(G14:H14)=2,G14*H14,""))</x:f>
      </x:c>
      <x:c r="J14" s="36"/>
      <x:c r="K14" s="36"/>
      <x:c r="L14" s="36"/>
      <x:c r="M14" s="36"/>
      <x:c r="N14" s="41" t="str">
        <x:f>IF(A14="","",IF(M14="NO","EXCLUDED",IF(AND(COUNTIF($A$6:$A$305,A14)=1,M14="YES",OR(B14="EA",B14="EP"),C14&lt;&gt;"",OR(D14="BL",D14="PJ",D14="LK"),F14&lt;&gt;"",ISNUMBER(I14),J14="t CO2e",K14&lt;&gt;"",L14&lt;&gt;""),"COMPLETE","HOLD: INPUT / EVIDENCE")))</x:f>
      </x:c>
    </x:row>
    <x:row r="15" ht="23" customHeight="1">
      <x:c r="A15" s="38"/>
      <x:c r="B15" s="36"/>
      <x:c r="C15" s="36"/>
      <x:c r="D15" s="36"/>
      <x:c r="E15" s="36"/>
      <x:c r="F15" s="36"/>
      <x:c r="G15" s="36"/>
      <x:c r="H15" s="36"/>
      <x:c r="I15" s="41" t="str">
        <x:f>IF(A15="","",IF(COUNT(G15:H15)=2,G15*H15,""))</x:f>
      </x:c>
      <x:c r="J15" s="36"/>
      <x:c r="K15" s="36"/>
      <x:c r="L15" s="36"/>
      <x:c r="M15" s="36"/>
      <x:c r="N15" s="41" t="str">
        <x:f>IF(A15="","",IF(M15="NO","EXCLUDED",IF(AND(COUNTIF($A$6:$A$305,A15)=1,M15="YES",OR(B15="EA",B15="EP"),C15&lt;&gt;"",OR(D15="BL",D15="PJ",D15="LK"),F15&lt;&gt;"",ISNUMBER(I15),J15="t CO2e",K15&lt;&gt;"",L15&lt;&gt;""),"COMPLETE","HOLD: INPUT / EVIDENCE")))</x:f>
      </x:c>
    </x:row>
    <x:row r="16" ht="23" customHeight="1">
      <x:c r="A16" s="38"/>
      <x:c r="B16" s="36"/>
      <x:c r="C16" s="36"/>
      <x:c r="D16" s="36"/>
      <x:c r="E16" s="36"/>
      <x:c r="F16" s="36"/>
      <x:c r="G16" s="36"/>
      <x:c r="H16" s="36"/>
      <x:c r="I16" s="41" t="str">
        <x:f>IF(A16="","",IF(COUNT(G16:H16)=2,G16*H16,""))</x:f>
      </x:c>
      <x:c r="J16" s="36"/>
      <x:c r="K16" s="36"/>
      <x:c r="L16" s="36"/>
      <x:c r="M16" s="36"/>
      <x:c r="N16" s="41" t="str">
        <x:f>IF(A16="","",IF(M16="NO","EXCLUDED",IF(AND(COUNTIF($A$6:$A$305,A16)=1,M16="YES",OR(B16="EA",B16="EP"),C16&lt;&gt;"",OR(D16="BL",D16="PJ",D16="LK"),F16&lt;&gt;"",ISNUMBER(I16),J16="t CO2e",K16&lt;&gt;"",L16&lt;&gt;""),"COMPLETE","HOLD: INPUT / EVIDENCE")))</x:f>
      </x:c>
    </x:row>
    <x:row r="17" ht="23" customHeight="1">
      <x:c r="A17" s="38"/>
      <x:c r="B17" s="36"/>
      <x:c r="C17" s="36"/>
      <x:c r="D17" s="36"/>
      <x:c r="E17" s="36"/>
      <x:c r="F17" s="36"/>
      <x:c r="G17" s="36"/>
      <x:c r="H17" s="36"/>
      <x:c r="I17" s="41" t="str">
        <x:f>IF(A17="","",IF(COUNT(G17:H17)=2,G17*H17,""))</x:f>
      </x:c>
      <x:c r="J17" s="36"/>
      <x:c r="K17" s="36"/>
      <x:c r="L17" s="36"/>
      <x:c r="M17" s="36"/>
      <x:c r="N17" s="41" t="str">
        <x:f>IF(A17="","",IF(M17="NO","EXCLUDED",IF(AND(COUNTIF($A$6:$A$305,A17)=1,M17="YES",OR(B17="EA",B17="EP"),C17&lt;&gt;"",OR(D17="BL",D17="PJ",D17="LK"),F17&lt;&gt;"",ISNUMBER(I17),J17="t CO2e",K17&lt;&gt;"",L17&lt;&gt;""),"COMPLETE","HOLD: INPUT / EVIDENCE")))</x:f>
      </x:c>
    </x:row>
    <x:row r="18" ht="23" customHeight="1">
      <x:c r="A18" s="38"/>
      <x:c r="B18" s="36"/>
      <x:c r="C18" s="36"/>
      <x:c r="D18" s="36"/>
      <x:c r="E18" s="36"/>
      <x:c r="F18" s="36"/>
      <x:c r="G18" s="36"/>
      <x:c r="H18" s="36"/>
      <x:c r="I18" s="41" t="str">
        <x:f>IF(A18="","",IF(COUNT(G18:H18)=2,G18*H18,""))</x:f>
      </x:c>
      <x:c r="J18" s="36"/>
      <x:c r="K18" s="36"/>
      <x:c r="L18" s="36"/>
      <x:c r="M18" s="36"/>
      <x:c r="N18" s="41" t="str">
        <x:f>IF(A18="","",IF(M18="NO","EXCLUDED",IF(AND(COUNTIF($A$6:$A$305,A18)=1,M18="YES",OR(B18="EA",B18="EP"),C18&lt;&gt;"",OR(D18="BL",D18="PJ",D18="LK"),F18&lt;&gt;"",ISNUMBER(I18),J18="t CO2e",K18&lt;&gt;"",L18&lt;&gt;""),"COMPLETE","HOLD: INPUT / EVIDENCE")))</x:f>
      </x:c>
    </x:row>
    <x:row r="19" ht="23" customHeight="1">
      <x:c r="A19" s="38"/>
      <x:c r="B19" s="36"/>
      <x:c r="C19" s="36"/>
      <x:c r="D19" s="36"/>
      <x:c r="E19" s="36"/>
      <x:c r="F19" s="36"/>
      <x:c r="G19" s="36"/>
      <x:c r="H19" s="36"/>
      <x:c r="I19" s="41" t="str">
        <x:f>IF(A19="","",IF(COUNT(G19:H19)=2,G19*H19,""))</x:f>
      </x:c>
      <x:c r="J19" s="36"/>
      <x:c r="K19" s="36"/>
      <x:c r="L19" s="36"/>
      <x:c r="M19" s="36"/>
      <x:c r="N19" s="41" t="str">
        <x:f>IF(A19="","",IF(M19="NO","EXCLUDED",IF(AND(COUNTIF($A$6:$A$305,A19)=1,M19="YES",OR(B19="EA",B19="EP"),C19&lt;&gt;"",OR(D19="BL",D19="PJ",D19="LK"),F19&lt;&gt;"",ISNUMBER(I19),J19="t CO2e",K19&lt;&gt;"",L19&lt;&gt;""),"COMPLETE","HOLD: INPUT / EVIDENCE")))</x:f>
      </x:c>
    </x:row>
    <x:row r="20" ht="23" customHeight="1">
      <x:c r="A20" s="38"/>
      <x:c r="B20" s="36"/>
      <x:c r="C20" s="36"/>
      <x:c r="D20" s="36"/>
      <x:c r="E20" s="36"/>
      <x:c r="F20" s="36"/>
      <x:c r="G20" s="36"/>
      <x:c r="H20" s="36"/>
      <x:c r="I20" s="41" t="str">
        <x:f>IF(A20="","",IF(COUNT(G20:H20)=2,G20*H20,""))</x:f>
      </x:c>
      <x:c r="J20" s="36"/>
      <x:c r="K20" s="36"/>
      <x:c r="L20" s="36"/>
      <x:c r="M20" s="36"/>
      <x:c r="N20" s="41" t="str">
        <x:f>IF(A20="","",IF(M20="NO","EXCLUDED",IF(AND(COUNTIF($A$6:$A$305,A20)=1,M20="YES",OR(B20="EA",B20="EP"),C20&lt;&gt;"",OR(D20="BL",D20="PJ",D20="LK"),F20&lt;&gt;"",ISNUMBER(I20),J20="t CO2e",K20&lt;&gt;"",L20&lt;&gt;""),"COMPLETE","HOLD: INPUT / EVIDENCE")))</x:f>
      </x:c>
    </x:row>
    <x:row r="21" ht="23" customHeight="1">
      <x:c r="A21" s="38"/>
      <x:c r="B21" s="36"/>
      <x:c r="C21" s="36"/>
      <x:c r="D21" s="36"/>
      <x:c r="E21" s="36"/>
      <x:c r="F21" s="36"/>
      <x:c r="G21" s="36"/>
      <x:c r="H21" s="36"/>
      <x:c r="I21" s="41" t="str">
        <x:f>IF(A21="","",IF(COUNT(G21:H21)=2,G21*H21,""))</x:f>
      </x:c>
      <x:c r="J21" s="36"/>
      <x:c r="K21" s="36"/>
      <x:c r="L21" s="36"/>
      <x:c r="M21" s="36"/>
      <x:c r="N21" s="41" t="str">
        <x:f>IF(A21="","",IF(M21="NO","EXCLUDED",IF(AND(COUNTIF($A$6:$A$305,A21)=1,M21="YES",OR(B21="EA",B21="EP"),C21&lt;&gt;"",OR(D21="BL",D21="PJ",D21="LK"),F21&lt;&gt;"",ISNUMBER(I21),J21="t CO2e",K21&lt;&gt;"",L21&lt;&gt;""),"COMPLETE","HOLD: INPUT / EVIDENCE")))</x:f>
      </x:c>
    </x:row>
    <x:row r="22" ht="23" customHeight="1">
      <x:c r="A22" s="38"/>
      <x:c r="B22" s="36"/>
      <x:c r="C22" s="36"/>
      <x:c r="D22" s="36"/>
      <x:c r="E22" s="36"/>
      <x:c r="F22" s="36"/>
      <x:c r="G22" s="36"/>
      <x:c r="H22" s="36"/>
      <x:c r="I22" s="41" t="str">
        <x:f>IF(A22="","",IF(COUNT(G22:H22)=2,G22*H22,""))</x:f>
      </x:c>
      <x:c r="J22" s="36"/>
      <x:c r="K22" s="36"/>
      <x:c r="L22" s="36"/>
      <x:c r="M22" s="36"/>
      <x:c r="N22" s="41" t="str">
        <x:f>IF(A22="","",IF(M22="NO","EXCLUDED",IF(AND(COUNTIF($A$6:$A$305,A22)=1,M22="YES",OR(B22="EA",B22="EP"),C22&lt;&gt;"",OR(D22="BL",D22="PJ",D22="LK"),F22&lt;&gt;"",ISNUMBER(I22),J22="t CO2e",K22&lt;&gt;"",L22&lt;&gt;""),"COMPLETE","HOLD: INPUT / EVIDENCE")))</x:f>
      </x:c>
    </x:row>
    <x:row r="23" ht="23" customHeight="1">
      <x:c r="A23" s="38"/>
      <x:c r="B23" s="36"/>
      <x:c r="C23" s="36"/>
      <x:c r="D23" s="36"/>
      <x:c r="E23" s="36"/>
      <x:c r="F23" s="36"/>
      <x:c r="G23" s="36"/>
      <x:c r="H23" s="36"/>
      <x:c r="I23" s="41" t="str">
        <x:f>IF(A23="","",IF(COUNT(G23:H23)=2,G23*H23,""))</x:f>
      </x:c>
      <x:c r="J23" s="36"/>
      <x:c r="K23" s="36"/>
      <x:c r="L23" s="36"/>
      <x:c r="M23" s="36"/>
      <x:c r="N23" s="41" t="str">
        <x:f>IF(A23="","",IF(M23="NO","EXCLUDED",IF(AND(COUNTIF($A$6:$A$305,A23)=1,M23="YES",OR(B23="EA",B23="EP"),C23&lt;&gt;"",OR(D23="BL",D23="PJ",D23="LK"),F23&lt;&gt;"",ISNUMBER(I23),J23="t CO2e",K23&lt;&gt;"",L23&lt;&gt;""),"COMPLETE","HOLD: INPUT / EVIDENCE")))</x:f>
      </x:c>
    </x:row>
    <x:row r="24" ht="23" customHeight="1">
      <x:c r="A24" s="38"/>
      <x:c r="B24" s="36"/>
      <x:c r="C24" s="36"/>
      <x:c r="D24" s="36"/>
      <x:c r="E24" s="36"/>
      <x:c r="F24" s="36"/>
      <x:c r="G24" s="36"/>
      <x:c r="H24" s="36"/>
      <x:c r="I24" s="41" t="str">
        <x:f>IF(A24="","",IF(COUNT(G24:H24)=2,G24*H24,""))</x:f>
      </x:c>
      <x:c r="J24" s="36"/>
      <x:c r="K24" s="36"/>
      <x:c r="L24" s="36"/>
      <x:c r="M24" s="36"/>
      <x:c r="N24" s="41" t="str">
        <x:f>IF(A24="","",IF(M24="NO","EXCLUDED",IF(AND(COUNTIF($A$6:$A$305,A24)=1,M24="YES",OR(B24="EA",B24="EP"),C24&lt;&gt;"",OR(D24="BL",D24="PJ",D24="LK"),F24&lt;&gt;"",ISNUMBER(I24),J24="t CO2e",K24&lt;&gt;"",L24&lt;&gt;""),"COMPLETE","HOLD: INPUT / EVIDENCE")))</x:f>
      </x:c>
    </x:row>
    <x:row r="25" ht="23" customHeight="1">
      <x:c r="A25" s="38"/>
      <x:c r="B25" s="36"/>
      <x:c r="C25" s="36"/>
      <x:c r="D25" s="36"/>
      <x:c r="E25" s="36"/>
      <x:c r="F25" s="36"/>
      <x:c r="G25" s="36"/>
      <x:c r="H25" s="36"/>
      <x:c r="I25" s="41" t="str">
        <x:f>IF(A25="","",IF(COUNT(G25:H25)=2,G25*H25,""))</x:f>
      </x:c>
      <x:c r="J25" s="36"/>
      <x:c r="K25" s="36"/>
      <x:c r="L25" s="36"/>
      <x:c r="M25" s="36"/>
      <x:c r="N25" s="41" t="str">
        <x:f>IF(A25="","",IF(M25="NO","EXCLUDED",IF(AND(COUNTIF($A$6:$A$305,A25)=1,M25="YES",OR(B25="EA",B25="EP"),C25&lt;&gt;"",OR(D25="BL",D25="PJ",D25="LK"),F25&lt;&gt;"",ISNUMBER(I25),J25="t CO2e",K25&lt;&gt;"",L25&lt;&gt;""),"COMPLETE","HOLD: INPUT / EVIDENCE")))</x:f>
      </x:c>
    </x:row>
    <x:row r="26" ht="23" customHeight="1">
      <x:c r="A26" s="38"/>
      <x:c r="B26" s="36"/>
      <x:c r="C26" s="36"/>
      <x:c r="D26" s="36"/>
      <x:c r="E26" s="36"/>
      <x:c r="F26" s="36"/>
      <x:c r="G26" s="36"/>
      <x:c r="H26" s="36"/>
      <x:c r="I26" s="41" t="str">
        <x:f>IF(A26="","",IF(COUNT(G26:H26)=2,G26*H26,""))</x:f>
      </x:c>
      <x:c r="J26" s="36"/>
      <x:c r="K26" s="36"/>
      <x:c r="L26" s="36"/>
      <x:c r="M26" s="36"/>
      <x:c r="N26" s="41" t="str">
        <x:f>IF(A26="","",IF(M26="NO","EXCLUDED",IF(AND(COUNTIF($A$6:$A$305,A26)=1,M26="YES",OR(B26="EA",B26="EP"),C26&lt;&gt;"",OR(D26="BL",D26="PJ",D26="LK"),F26&lt;&gt;"",ISNUMBER(I26),J26="t CO2e",K26&lt;&gt;"",L26&lt;&gt;""),"COMPLETE","HOLD: INPUT / EVIDENCE")))</x:f>
      </x:c>
    </x:row>
    <x:row r="27" ht="23" customHeight="1">
      <x:c r="A27" s="38"/>
      <x:c r="B27" s="36"/>
      <x:c r="C27" s="36"/>
      <x:c r="D27" s="36"/>
      <x:c r="E27" s="36"/>
      <x:c r="F27" s="36"/>
      <x:c r="G27" s="36"/>
      <x:c r="H27" s="36"/>
      <x:c r="I27" s="41" t="str">
        <x:f>IF(A27="","",IF(COUNT(G27:H27)=2,G27*H27,""))</x:f>
      </x:c>
      <x:c r="J27" s="36"/>
      <x:c r="K27" s="36"/>
      <x:c r="L27" s="36"/>
      <x:c r="M27" s="36"/>
      <x:c r="N27" s="41" t="str">
        <x:f>IF(A27="","",IF(M27="NO","EXCLUDED",IF(AND(COUNTIF($A$6:$A$305,A27)=1,M27="YES",OR(B27="EA",B27="EP"),C27&lt;&gt;"",OR(D27="BL",D27="PJ",D27="LK"),F27&lt;&gt;"",ISNUMBER(I27),J27="t CO2e",K27&lt;&gt;"",L27&lt;&gt;""),"COMPLETE","HOLD: INPUT / EVIDENCE")))</x:f>
      </x:c>
    </x:row>
    <x:row r="28" ht="23" customHeight="1">
      <x:c r="A28" s="38"/>
      <x:c r="B28" s="36"/>
      <x:c r="C28" s="36"/>
      <x:c r="D28" s="36"/>
      <x:c r="E28" s="36"/>
      <x:c r="F28" s="36"/>
      <x:c r="G28" s="36"/>
      <x:c r="H28" s="36"/>
      <x:c r="I28" s="41" t="str">
        <x:f>IF(A28="","",IF(COUNT(G28:H28)=2,G28*H28,""))</x:f>
      </x:c>
      <x:c r="J28" s="36"/>
      <x:c r="K28" s="36"/>
      <x:c r="L28" s="36"/>
      <x:c r="M28" s="36"/>
      <x:c r="N28" s="41" t="str">
        <x:f>IF(A28="","",IF(M28="NO","EXCLUDED",IF(AND(COUNTIF($A$6:$A$305,A28)=1,M28="YES",OR(B28="EA",B28="EP"),C28&lt;&gt;"",OR(D28="BL",D28="PJ",D28="LK"),F28&lt;&gt;"",ISNUMBER(I28),J28="t CO2e",K28&lt;&gt;"",L28&lt;&gt;""),"COMPLETE","HOLD: INPUT / EVIDENCE")))</x:f>
      </x:c>
    </x:row>
    <x:row r="29" ht="23" customHeight="1">
      <x:c r="A29" s="38"/>
      <x:c r="B29" s="36"/>
      <x:c r="C29" s="36"/>
      <x:c r="D29" s="36"/>
      <x:c r="E29" s="36"/>
      <x:c r="F29" s="36"/>
      <x:c r="G29" s="36"/>
      <x:c r="H29" s="36"/>
      <x:c r="I29" s="41" t="str">
        <x:f>IF(A29="","",IF(COUNT(G29:H29)=2,G29*H29,""))</x:f>
      </x:c>
      <x:c r="J29" s="36"/>
      <x:c r="K29" s="36"/>
      <x:c r="L29" s="36"/>
      <x:c r="M29" s="36"/>
      <x:c r="N29" s="41" t="str">
        <x:f>IF(A29="","",IF(M29="NO","EXCLUDED",IF(AND(COUNTIF($A$6:$A$305,A29)=1,M29="YES",OR(B29="EA",B29="EP"),C29&lt;&gt;"",OR(D29="BL",D29="PJ",D29="LK"),F29&lt;&gt;"",ISNUMBER(I29),J29="t CO2e",K29&lt;&gt;"",L29&lt;&gt;""),"COMPLETE","HOLD: INPUT / EVIDENCE")))</x:f>
      </x:c>
    </x:row>
    <x:row r="30" ht="23" customHeight="1">
      <x:c r="A30" s="38"/>
      <x:c r="B30" s="36"/>
      <x:c r="C30" s="36"/>
      <x:c r="D30" s="36"/>
      <x:c r="E30" s="36"/>
      <x:c r="F30" s="36"/>
      <x:c r="G30" s="36"/>
      <x:c r="H30" s="36"/>
      <x:c r="I30" s="41" t="str">
        <x:f>IF(A30="","",IF(COUNT(G30:H30)=2,G30*H30,""))</x:f>
      </x:c>
      <x:c r="J30" s="36"/>
      <x:c r="K30" s="36"/>
      <x:c r="L30" s="36"/>
      <x:c r="M30" s="36"/>
      <x:c r="N30" s="41" t="str">
        <x:f>IF(A30="","",IF(M30="NO","EXCLUDED",IF(AND(COUNTIF($A$6:$A$305,A30)=1,M30="YES",OR(B30="EA",B30="EP"),C30&lt;&gt;"",OR(D30="BL",D30="PJ",D30="LK"),F30&lt;&gt;"",ISNUMBER(I30),J30="t CO2e",K30&lt;&gt;"",L30&lt;&gt;""),"COMPLETE","HOLD: INPUT / EVIDENCE")))</x:f>
      </x:c>
    </x:row>
    <x:row r="31" ht="23" customHeight="1">
      <x:c r="A31" s="38"/>
      <x:c r="B31" s="36"/>
      <x:c r="C31" s="36"/>
      <x:c r="D31" s="36"/>
      <x:c r="E31" s="36"/>
      <x:c r="F31" s="36"/>
      <x:c r="G31" s="36"/>
      <x:c r="H31" s="36"/>
      <x:c r="I31" s="41" t="str">
        <x:f>IF(A31="","",IF(COUNT(G31:H31)=2,G31*H31,""))</x:f>
      </x:c>
      <x:c r="J31" s="36"/>
      <x:c r="K31" s="36"/>
      <x:c r="L31" s="36"/>
      <x:c r="M31" s="36"/>
      <x:c r="N31" s="41" t="str">
        <x:f>IF(A31="","",IF(M31="NO","EXCLUDED",IF(AND(COUNTIF($A$6:$A$305,A31)=1,M31="YES",OR(B31="EA",B31="EP"),C31&lt;&gt;"",OR(D31="BL",D31="PJ",D31="LK"),F31&lt;&gt;"",ISNUMBER(I31),J31="t CO2e",K31&lt;&gt;"",L31&lt;&gt;""),"COMPLETE","HOLD: INPUT / EVIDENCE")))</x:f>
      </x:c>
    </x:row>
    <x:row r="32" ht="23" customHeight="1">
      <x:c r="A32" s="38"/>
      <x:c r="B32" s="36"/>
      <x:c r="C32" s="36"/>
      <x:c r="D32" s="36"/>
      <x:c r="E32" s="36"/>
      <x:c r="F32" s="36"/>
      <x:c r="G32" s="36"/>
      <x:c r="H32" s="36"/>
      <x:c r="I32" s="41" t="str">
        <x:f>IF(A32="","",IF(COUNT(G32:H32)=2,G32*H32,""))</x:f>
      </x:c>
      <x:c r="J32" s="36"/>
      <x:c r="K32" s="36"/>
      <x:c r="L32" s="36"/>
      <x:c r="M32" s="36"/>
      <x:c r="N32" s="41" t="str">
        <x:f>IF(A32="","",IF(M32="NO","EXCLUDED",IF(AND(COUNTIF($A$6:$A$305,A32)=1,M32="YES",OR(B32="EA",B32="EP"),C32&lt;&gt;"",OR(D32="BL",D32="PJ",D32="LK"),F32&lt;&gt;"",ISNUMBER(I32),J32="t CO2e",K32&lt;&gt;"",L32&lt;&gt;""),"COMPLETE","HOLD: INPUT / EVIDENCE")))</x:f>
      </x:c>
    </x:row>
    <x:row r="33" ht="23" customHeight="1">
      <x:c r="A33" s="38"/>
      <x:c r="B33" s="36"/>
      <x:c r="C33" s="36"/>
      <x:c r="D33" s="36"/>
      <x:c r="E33" s="36"/>
      <x:c r="F33" s="36"/>
      <x:c r="G33" s="36"/>
      <x:c r="H33" s="36"/>
      <x:c r="I33" s="41" t="str">
        <x:f>IF(A33="","",IF(COUNT(G33:H33)=2,G33*H33,""))</x:f>
      </x:c>
      <x:c r="J33" s="36"/>
      <x:c r="K33" s="36"/>
      <x:c r="L33" s="36"/>
      <x:c r="M33" s="36"/>
      <x:c r="N33" s="41" t="str">
        <x:f>IF(A33="","",IF(M33="NO","EXCLUDED",IF(AND(COUNTIF($A$6:$A$305,A33)=1,M33="YES",OR(B33="EA",B33="EP"),C33&lt;&gt;"",OR(D33="BL",D33="PJ",D33="LK"),F33&lt;&gt;"",ISNUMBER(I33),J33="t CO2e",K33&lt;&gt;"",L33&lt;&gt;""),"COMPLETE","HOLD: INPUT / EVIDENCE")))</x:f>
      </x:c>
    </x:row>
    <x:row r="34" ht="23" customHeight="1">
      <x:c r="A34" s="38"/>
      <x:c r="B34" s="36"/>
      <x:c r="C34" s="36"/>
      <x:c r="D34" s="36"/>
      <x:c r="E34" s="36"/>
      <x:c r="F34" s="36"/>
      <x:c r="G34" s="36"/>
      <x:c r="H34" s="36"/>
      <x:c r="I34" s="41" t="str">
        <x:f>IF(A34="","",IF(COUNT(G34:H34)=2,G34*H34,""))</x:f>
      </x:c>
      <x:c r="J34" s="36"/>
      <x:c r="K34" s="36"/>
      <x:c r="L34" s="36"/>
      <x:c r="M34" s="36"/>
      <x:c r="N34" s="41" t="str">
        <x:f>IF(A34="","",IF(M34="NO","EXCLUDED",IF(AND(COUNTIF($A$6:$A$305,A34)=1,M34="YES",OR(B34="EA",B34="EP"),C34&lt;&gt;"",OR(D34="BL",D34="PJ",D34="LK"),F34&lt;&gt;"",ISNUMBER(I34),J34="t CO2e",K34&lt;&gt;"",L34&lt;&gt;""),"COMPLETE","HOLD: INPUT / EVIDENCE")))</x:f>
      </x:c>
    </x:row>
    <x:row r="35" ht="23" customHeight="1">
      <x:c r="A35" s="38"/>
      <x:c r="B35" s="36"/>
      <x:c r="C35" s="36"/>
      <x:c r="D35" s="36"/>
      <x:c r="E35" s="36"/>
      <x:c r="F35" s="36"/>
      <x:c r="G35" s="36"/>
      <x:c r="H35" s="36"/>
      <x:c r="I35" s="41" t="str">
        <x:f>IF(A35="","",IF(COUNT(G35:H35)=2,G35*H35,""))</x:f>
      </x:c>
      <x:c r="J35" s="36"/>
      <x:c r="K35" s="36"/>
      <x:c r="L35" s="36"/>
      <x:c r="M35" s="36"/>
      <x:c r="N35" s="41" t="str">
        <x:f>IF(A35="","",IF(M35="NO","EXCLUDED",IF(AND(COUNTIF($A$6:$A$305,A35)=1,M35="YES",OR(B35="EA",B35="EP"),C35&lt;&gt;"",OR(D35="BL",D35="PJ",D35="LK"),F35&lt;&gt;"",ISNUMBER(I35),J35="t CO2e",K35&lt;&gt;"",L35&lt;&gt;""),"COMPLETE","HOLD: INPUT / EVIDENCE")))</x:f>
      </x:c>
    </x:row>
    <x:row r="36" ht="23" customHeight="1">
      <x:c r="A36" s="38"/>
      <x:c r="B36" s="36"/>
      <x:c r="C36" s="36"/>
      <x:c r="D36" s="36"/>
      <x:c r="E36" s="36"/>
      <x:c r="F36" s="36"/>
      <x:c r="G36" s="36"/>
      <x:c r="H36" s="36"/>
      <x:c r="I36" s="41" t="str">
        <x:f>IF(A36="","",IF(COUNT(G36:H36)=2,G36*H36,""))</x:f>
      </x:c>
      <x:c r="J36" s="36"/>
      <x:c r="K36" s="36"/>
      <x:c r="L36" s="36"/>
      <x:c r="M36" s="36"/>
      <x:c r="N36" s="41" t="str">
        <x:f>IF(A36="","",IF(M36="NO","EXCLUDED",IF(AND(COUNTIF($A$6:$A$305,A36)=1,M36="YES",OR(B36="EA",B36="EP"),C36&lt;&gt;"",OR(D36="BL",D36="PJ",D36="LK"),F36&lt;&gt;"",ISNUMBER(I36),J36="t CO2e",K36&lt;&gt;"",L36&lt;&gt;""),"COMPLETE","HOLD: INPUT / EVIDENCE")))</x:f>
      </x:c>
    </x:row>
    <x:row r="37" ht="23" customHeight="1">
      <x:c r="A37" s="38"/>
      <x:c r="B37" s="36"/>
      <x:c r="C37" s="36"/>
      <x:c r="D37" s="36"/>
      <x:c r="E37" s="36"/>
      <x:c r="F37" s="36"/>
      <x:c r="G37" s="36"/>
      <x:c r="H37" s="36"/>
      <x:c r="I37" s="41" t="str">
        <x:f>IF(A37="","",IF(COUNT(G37:H37)=2,G37*H37,""))</x:f>
      </x:c>
      <x:c r="J37" s="36"/>
      <x:c r="K37" s="36"/>
      <x:c r="L37" s="36"/>
      <x:c r="M37" s="36"/>
      <x:c r="N37" s="41" t="str">
        <x:f>IF(A37="","",IF(M37="NO","EXCLUDED",IF(AND(COUNTIF($A$6:$A$305,A37)=1,M37="YES",OR(B37="EA",B37="EP"),C37&lt;&gt;"",OR(D37="BL",D37="PJ",D37="LK"),F37&lt;&gt;"",ISNUMBER(I37),J37="t CO2e",K37&lt;&gt;"",L37&lt;&gt;""),"COMPLETE","HOLD: INPUT / EVIDENCE")))</x:f>
      </x:c>
    </x:row>
    <x:row r="38" ht="23" customHeight="1">
      <x:c r="A38" s="38"/>
      <x:c r="B38" s="36"/>
      <x:c r="C38" s="36"/>
      <x:c r="D38" s="36"/>
      <x:c r="E38" s="36"/>
      <x:c r="F38" s="36"/>
      <x:c r="G38" s="36"/>
      <x:c r="H38" s="36"/>
      <x:c r="I38" s="41" t="str">
        <x:f>IF(A38="","",IF(COUNT(G38:H38)=2,G38*H38,""))</x:f>
      </x:c>
      <x:c r="J38" s="36"/>
      <x:c r="K38" s="36"/>
      <x:c r="L38" s="36"/>
      <x:c r="M38" s="36"/>
      <x:c r="N38" s="41" t="str">
        <x:f>IF(A38="","",IF(M38="NO","EXCLUDED",IF(AND(COUNTIF($A$6:$A$305,A38)=1,M38="YES",OR(B38="EA",B38="EP"),C38&lt;&gt;"",OR(D38="BL",D38="PJ",D38="LK"),F38&lt;&gt;"",ISNUMBER(I38),J38="t CO2e",K38&lt;&gt;"",L38&lt;&gt;""),"COMPLETE","HOLD: INPUT / EVIDENCE")))</x:f>
      </x:c>
    </x:row>
    <x:row r="39" ht="23" customHeight="1">
      <x:c r="A39" s="38"/>
      <x:c r="B39" s="36"/>
      <x:c r="C39" s="36"/>
      <x:c r="D39" s="36"/>
      <x:c r="E39" s="36"/>
      <x:c r="F39" s="36"/>
      <x:c r="G39" s="36"/>
      <x:c r="H39" s="36"/>
      <x:c r="I39" s="41" t="str">
        <x:f>IF(A39="","",IF(COUNT(G39:H39)=2,G39*H39,""))</x:f>
      </x:c>
      <x:c r="J39" s="36"/>
      <x:c r="K39" s="36"/>
      <x:c r="L39" s="36"/>
      <x:c r="M39" s="36"/>
      <x:c r="N39" s="41" t="str">
        <x:f>IF(A39="","",IF(M39="NO","EXCLUDED",IF(AND(COUNTIF($A$6:$A$305,A39)=1,M39="YES",OR(B39="EA",B39="EP"),C39&lt;&gt;"",OR(D39="BL",D39="PJ",D39="LK"),F39&lt;&gt;"",ISNUMBER(I39),J39="t CO2e",K39&lt;&gt;"",L39&lt;&gt;""),"COMPLETE","HOLD: INPUT / EVIDENCE")))</x:f>
      </x:c>
    </x:row>
    <x:row r="40" ht="23" customHeight="1">
      <x:c r="A40" s="38"/>
      <x:c r="B40" s="36"/>
      <x:c r="C40" s="36"/>
      <x:c r="D40" s="36"/>
      <x:c r="E40" s="36"/>
      <x:c r="F40" s="36"/>
      <x:c r="G40" s="36"/>
      <x:c r="H40" s="36"/>
      <x:c r="I40" s="41" t="str">
        <x:f>IF(A40="","",IF(COUNT(G40:H40)=2,G40*H40,""))</x:f>
      </x:c>
      <x:c r="J40" s="36"/>
      <x:c r="K40" s="36"/>
      <x:c r="L40" s="36"/>
      <x:c r="M40" s="36"/>
      <x:c r="N40" s="41" t="str">
        <x:f>IF(A40="","",IF(M40="NO","EXCLUDED",IF(AND(COUNTIF($A$6:$A$305,A40)=1,M40="YES",OR(B40="EA",B40="EP"),C40&lt;&gt;"",OR(D40="BL",D40="PJ",D40="LK"),F40&lt;&gt;"",ISNUMBER(I40),J40="t CO2e",K40&lt;&gt;"",L40&lt;&gt;""),"COMPLETE","HOLD: INPUT / EVIDENCE")))</x:f>
      </x:c>
    </x:row>
    <x:row r="41" ht="23" customHeight="1">
      <x:c r="A41" s="38"/>
      <x:c r="B41" s="36"/>
      <x:c r="C41" s="36"/>
      <x:c r="D41" s="36"/>
      <x:c r="E41" s="36"/>
      <x:c r="F41" s="36"/>
      <x:c r="G41" s="36"/>
      <x:c r="H41" s="36"/>
      <x:c r="I41" s="41" t="str">
        <x:f>IF(A41="","",IF(COUNT(G41:H41)=2,G41*H41,""))</x:f>
      </x:c>
      <x:c r="J41" s="36"/>
      <x:c r="K41" s="36"/>
      <x:c r="L41" s="36"/>
      <x:c r="M41" s="36"/>
      <x:c r="N41" s="41" t="str">
        <x:f>IF(A41="","",IF(M41="NO","EXCLUDED",IF(AND(COUNTIF($A$6:$A$305,A41)=1,M41="YES",OR(B41="EA",B41="EP"),C41&lt;&gt;"",OR(D41="BL",D41="PJ",D41="LK"),F41&lt;&gt;"",ISNUMBER(I41),J41="t CO2e",K41&lt;&gt;"",L41&lt;&gt;""),"COMPLETE","HOLD: INPUT / EVIDENCE")))</x:f>
      </x:c>
    </x:row>
    <x:row r="42" ht="23" customHeight="1">
      <x:c r="A42" s="38"/>
      <x:c r="B42" s="36"/>
      <x:c r="C42" s="36"/>
      <x:c r="D42" s="36"/>
      <x:c r="E42" s="36"/>
      <x:c r="F42" s="36"/>
      <x:c r="G42" s="36"/>
      <x:c r="H42" s="36"/>
      <x:c r="I42" s="41" t="str">
        <x:f>IF(A42="","",IF(COUNT(G42:H42)=2,G42*H42,""))</x:f>
      </x:c>
      <x:c r="J42" s="36"/>
      <x:c r="K42" s="36"/>
      <x:c r="L42" s="36"/>
      <x:c r="M42" s="36"/>
      <x:c r="N42" s="41" t="str">
        <x:f>IF(A42="","",IF(M42="NO","EXCLUDED",IF(AND(COUNTIF($A$6:$A$305,A42)=1,M42="YES",OR(B42="EA",B42="EP"),C42&lt;&gt;"",OR(D42="BL",D42="PJ",D42="LK"),F42&lt;&gt;"",ISNUMBER(I42),J42="t CO2e",K42&lt;&gt;"",L42&lt;&gt;""),"COMPLETE","HOLD: INPUT / EVIDENCE")))</x:f>
      </x:c>
    </x:row>
    <x:row r="43" ht="23" customHeight="1">
      <x:c r="A43" s="38"/>
      <x:c r="B43" s="36"/>
      <x:c r="C43" s="36"/>
      <x:c r="D43" s="36"/>
      <x:c r="E43" s="36"/>
      <x:c r="F43" s="36"/>
      <x:c r="G43" s="36"/>
      <x:c r="H43" s="36"/>
      <x:c r="I43" s="41" t="str">
        <x:f>IF(A43="","",IF(COUNT(G43:H43)=2,G43*H43,""))</x:f>
      </x:c>
      <x:c r="J43" s="36"/>
      <x:c r="K43" s="36"/>
      <x:c r="L43" s="36"/>
      <x:c r="M43" s="36"/>
      <x:c r="N43" s="41" t="str">
        <x:f>IF(A43="","",IF(M43="NO","EXCLUDED",IF(AND(COUNTIF($A$6:$A$305,A43)=1,M43="YES",OR(B43="EA",B43="EP"),C43&lt;&gt;"",OR(D43="BL",D43="PJ",D43="LK"),F43&lt;&gt;"",ISNUMBER(I43),J43="t CO2e",K43&lt;&gt;"",L43&lt;&gt;""),"COMPLETE","HOLD: INPUT / EVIDENCE")))</x:f>
      </x:c>
    </x:row>
    <x:row r="44" ht="23" customHeight="1">
      <x:c r="A44" s="38"/>
      <x:c r="B44" s="36"/>
      <x:c r="C44" s="36"/>
      <x:c r="D44" s="36"/>
      <x:c r="E44" s="36"/>
      <x:c r="F44" s="36"/>
      <x:c r="G44" s="36"/>
      <x:c r="H44" s="36"/>
      <x:c r="I44" s="41" t="str">
        <x:f>IF(A44="","",IF(COUNT(G44:H44)=2,G44*H44,""))</x:f>
      </x:c>
      <x:c r="J44" s="36"/>
      <x:c r="K44" s="36"/>
      <x:c r="L44" s="36"/>
      <x:c r="M44" s="36"/>
      <x:c r="N44" s="41" t="str">
        <x:f>IF(A44="","",IF(M44="NO","EXCLUDED",IF(AND(COUNTIF($A$6:$A$305,A44)=1,M44="YES",OR(B44="EA",B44="EP"),C44&lt;&gt;"",OR(D44="BL",D44="PJ",D44="LK"),F44&lt;&gt;"",ISNUMBER(I44),J44="t CO2e",K44&lt;&gt;"",L44&lt;&gt;""),"COMPLETE","HOLD: INPUT / EVIDENCE")))</x:f>
      </x:c>
    </x:row>
    <x:row r="45" ht="23" customHeight="1">
      <x:c r="A45" s="38"/>
      <x:c r="B45" s="36"/>
      <x:c r="C45" s="36"/>
      <x:c r="D45" s="36"/>
      <x:c r="E45" s="36"/>
      <x:c r="F45" s="36"/>
      <x:c r="G45" s="36"/>
      <x:c r="H45" s="36"/>
      <x:c r="I45" s="41" t="str">
        <x:f>IF(A45="","",IF(COUNT(G45:H45)=2,G45*H45,""))</x:f>
      </x:c>
      <x:c r="J45" s="36"/>
      <x:c r="K45" s="36"/>
      <x:c r="L45" s="36"/>
      <x:c r="M45" s="36"/>
      <x:c r="N45" s="41" t="str">
        <x:f>IF(A45="","",IF(M45="NO","EXCLUDED",IF(AND(COUNTIF($A$6:$A$305,A45)=1,M45="YES",OR(B45="EA",B45="EP"),C45&lt;&gt;"",OR(D45="BL",D45="PJ",D45="LK"),F45&lt;&gt;"",ISNUMBER(I45),J45="t CO2e",K45&lt;&gt;"",L45&lt;&gt;""),"COMPLETE","HOLD: INPUT / EVIDENCE")))</x:f>
      </x:c>
    </x:row>
    <x:row r="46" ht="23" customHeight="1">
      <x:c r="A46" s="38"/>
      <x:c r="B46" s="36"/>
      <x:c r="C46" s="36"/>
      <x:c r="D46" s="36"/>
      <x:c r="E46" s="36"/>
      <x:c r="F46" s="36"/>
      <x:c r="G46" s="36"/>
      <x:c r="H46" s="36"/>
      <x:c r="I46" s="41" t="str">
        <x:f>IF(A46="","",IF(COUNT(G46:H46)=2,G46*H46,""))</x:f>
      </x:c>
      <x:c r="J46" s="36"/>
      <x:c r="K46" s="36"/>
      <x:c r="L46" s="36"/>
      <x:c r="M46" s="36"/>
      <x:c r="N46" s="41" t="str">
        <x:f>IF(A46="","",IF(M46="NO","EXCLUDED",IF(AND(COUNTIF($A$6:$A$305,A46)=1,M46="YES",OR(B46="EA",B46="EP"),C46&lt;&gt;"",OR(D46="BL",D46="PJ",D46="LK"),F46&lt;&gt;"",ISNUMBER(I46),J46="t CO2e",K46&lt;&gt;"",L46&lt;&gt;""),"COMPLETE","HOLD: INPUT / EVIDENCE")))</x:f>
      </x:c>
    </x:row>
    <x:row r="47" ht="23" customHeight="1">
      <x:c r="A47" s="38"/>
      <x:c r="B47" s="36"/>
      <x:c r="C47" s="36"/>
      <x:c r="D47" s="36"/>
      <x:c r="E47" s="36"/>
      <x:c r="F47" s="36"/>
      <x:c r="G47" s="36"/>
      <x:c r="H47" s="36"/>
      <x:c r="I47" s="41" t="str">
        <x:f>IF(A47="","",IF(COUNT(G47:H47)=2,G47*H47,""))</x:f>
      </x:c>
      <x:c r="J47" s="36"/>
      <x:c r="K47" s="36"/>
      <x:c r="L47" s="36"/>
      <x:c r="M47" s="36"/>
      <x:c r="N47" s="41" t="str">
        <x:f>IF(A47="","",IF(M47="NO","EXCLUDED",IF(AND(COUNTIF($A$6:$A$305,A47)=1,M47="YES",OR(B47="EA",B47="EP"),C47&lt;&gt;"",OR(D47="BL",D47="PJ",D47="LK"),F47&lt;&gt;"",ISNUMBER(I47),J47="t CO2e",K47&lt;&gt;"",L47&lt;&gt;""),"COMPLETE","HOLD: INPUT / EVIDENCE")))</x:f>
      </x:c>
    </x:row>
    <x:row r="48" ht="23" customHeight="1">
      <x:c r="A48" s="38"/>
      <x:c r="B48" s="36"/>
      <x:c r="C48" s="36"/>
      <x:c r="D48" s="36"/>
      <x:c r="E48" s="36"/>
      <x:c r="F48" s="36"/>
      <x:c r="G48" s="36"/>
      <x:c r="H48" s="36"/>
      <x:c r="I48" s="41" t="str">
        <x:f>IF(A48="","",IF(COUNT(G48:H48)=2,G48*H48,""))</x:f>
      </x:c>
      <x:c r="J48" s="36"/>
      <x:c r="K48" s="36"/>
      <x:c r="L48" s="36"/>
      <x:c r="M48" s="36"/>
      <x:c r="N48" s="41" t="str">
        <x:f>IF(A48="","",IF(M48="NO","EXCLUDED",IF(AND(COUNTIF($A$6:$A$305,A48)=1,M48="YES",OR(B48="EA",B48="EP"),C48&lt;&gt;"",OR(D48="BL",D48="PJ",D48="LK"),F48&lt;&gt;"",ISNUMBER(I48),J48="t CO2e",K48&lt;&gt;"",L48&lt;&gt;""),"COMPLETE","HOLD: INPUT / EVIDENCE")))</x:f>
      </x:c>
    </x:row>
    <x:row r="49" ht="23" customHeight="1">
      <x:c r="A49" s="38"/>
      <x:c r="B49" s="36"/>
      <x:c r="C49" s="36"/>
      <x:c r="D49" s="36"/>
      <x:c r="E49" s="36"/>
      <x:c r="F49" s="36"/>
      <x:c r="G49" s="36"/>
      <x:c r="H49" s="36"/>
      <x:c r="I49" s="41" t="str">
        <x:f>IF(A49="","",IF(COUNT(G49:H49)=2,G49*H49,""))</x:f>
      </x:c>
      <x:c r="J49" s="36"/>
      <x:c r="K49" s="36"/>
      <x:c r="L49" s="36"/>
      <x:c r="M49" s="36"/>
      <x:c r="N49" s="41" t="str">
        <x:f>IF(A49="","",IF(M49="NO","EXCLUDED",IF(AND(COUNTIF($A$6:$A$305,A49)=1,M49="YES",OR(B49="EA",B49="EP"),C49&lt;&gt;"",OR(D49="BL",D49="PJ",D49="LK"),F49&lt;&gt;"",ISNUMBER(I49),J49="t CO2e",K49&lt;&gt;"",L49&lt;&gt;""),"COMPLETE","HOLD: INPUT / EVIDENCE")))</x:f>
      </x:c>
    </x:row>
    <x:row r="50" ht="23" customHeight="1">
      <x:c r="A50" s="38"/>
      <x:c r="B50" s="36"/>
      <x:c r="C50" s="36"/>
      <x:c r="D50" s="36"/>
      <x:c r="E50" s="36"/>
      <x:c r="F50" s="36"/>
      <x:c r="G50" s="36"/>
      <x:c r="H50" s="36"/>
      <x:c r="I50" s="41" t="str">
        <x:f>IF(A50="","",IF(COUNT(G50:H50)=2,G50*H50,""))</x:f>
      </x:c>
      <x:c r="J50" s="36"/>
      <x:c r="K50" s="36"/>
      <x:c r="L50" s="36"/>
      <x:c r="M50" s="36"/>
      <x:c r="N50" s="41" t="str">
        <x:f>IF(A50="","",IF(M50="NO","EXCLUDED",IF(AND(COUNTIF($A$6:$A$305,A50)=1,M50="YES",OR(B50="EA",B50="EP"),C50&lt;&gt;"",OR(D50="BL",D50="PJ",D50="LK"),F50&lt;&gt;"",ISNUMBER(I50),J50="t CO2e",K50&lt;&gt;"",L50&lt;&gt;""),"COMPLETE","HOLD: INPUT / EVIDENCE")))</x:f>
      </x:c>
    </x:row>
    <x:row r="51" ht="23" customHeight="1">
      <x:c r="A51" s="38"/>
      <x:c r="B51" s="36"/>
      <x:c r="C51" s="36"/>
      <x:c r="D51" s="36"/>
      <x:c r="E51" s="36"/>
      <x:c r="F51" s="36"/>
      <x:c r="G51" s="36"/>
      <x:c r="H51" s="36"/>
      <x:c r="I51" s="41" t="str">
        <x:f>IF(A51="","",IF(COUNT(G51:H51)=2,G51*H51,""))</x:f>
      </x:c>
      <x:c r="J51" s="36"/>
      <x:c r="K51" s="36"/>
      <x:c r="L51" s="36"/>
      <x:c r="M51" s="36"/>
      <x:c r="N51" s="41" t="str">
        <x:f>IF(A51="","",IF(M51="NO","EXCLUDED",IF(AND(COUNTIF($A$6:$A$305,A51)=1,M51="YES",OR(B51="EA",B51="EP"),C51&lt;&gt;"",OR(D51="BL",D51="PJ",D51="LK"),F51&lt;&gt;"",ISNUMBER(I51),J51="t CO2e",K51&lt;&gt;"",L51&lt;&gt;""),"COMPLETE","HOLD: INPUT / EVIDENCE")))</x:f>
      </x:c>
    </x:row>
    <x:row r="52" ht="23" customHeight="1">
      <x:c r="A52" s="38"/>
      <x:c r="B52" s="36"/>
      <x:c r="C52" s="36"/>
      <x:c r="D52" s="36"/>
      <x:c r="E52" s="36"/>
      <x:c r="F52" s="36"/>
      <x:c r="G52" s="36"/>
      <x:c r="H52" s="36"/>
      <x:c r="I52" s="41" t="str">
        <x:f>IF(A52="","",IF(COUNT(G52:H52)=2,G52*H52,""))</x:f>
      </x:c>
      <x:c r="J52" s="36"/>
      <x:c r="K52" s="36"/>
      <x:c r="L52" s="36"/>
      <x:c r="M52" s="36"/>
      <x:c r="N52" s="41" t="str">
        <x:f>IF(A52="","",IF(M52="NO","EXCLUDED",IF(AND(COUNTIF($A$6:$A$305,A52)=1,M52="YES",OR(B52="EA",B52="EP"),C52&lt;&gt;"",OR(D52="BL",D52="PJ",D52="LK"),F52&lt;&gt;"",ISNUMBER(I52),J52="t CO2e",K52&lt;&gt;"",L52&lt;&gt;""),"COMPLETE","HOLD: INPUT / EVIDENCE")))</x:f>
      </x:c>
    </x:row>
    <x:row r="53" ht="23" customHeight="1">
      <x:c r="A53" s="38"/>
      <x:c r="B53" s="36"/>
      <x:c r="C53" s="36"/>
      <x:c r="D53" s="36"/>
      <x:c r="E53" s="36"/>
      <x:c r="F53" s="36"/>
      <x:c r="G53" s="36"/>
      <x:c r="H53" s="36"/>
      <x:c r="I53" s="41" t="str">
        <x:f>IF(A53="","",IF(COUNT(G53:H53)=2,G53*H53,""))</x:f>
      </x:c>
      <x:c r="J53" s="36"/>
      <x:c r="K53" s="36"/>
      <x:c r="L53" s="36"/>
      <x:c r="M53" s="36"/>
      <x:c r="N53" s="41" t="str">
        <x:f>IF(A53="","",IF(M53="NO","EXCLUDED",IF(AND(COUNTIF($A$6:$A$305,A53)=1,M53="YES",OR(B53="EA",B53="EP"),C53&lt;&gt;"",OR(D53="BL",D53="PJ",D53="LK"),F53&lt;&gt;"",ISNUMBER(I53),J53="t CO2e",K53&lt;&gt;"",L53&lt;&gt;""),"COMPLETE","HOLD: INPUT / EVIDENCE")))</x:f>
      </x:c>
    </x:row>
    <x:row r="54" ht="23" customHeight="1">
      <x:c r="A54" s="38"/>
      <x:c r="B54" s="36"/>
      <x:c r="C54" s="36"/>
      <x:c r="D54" s="36"/>
      <x:c r="E54" s="36"/>
      <x:c r="F54" s="36"/>
      <x:c r="G54" s="36"/>
      <x:c r="H54" s="36"/>
      <x:c r="I54" s="41" t="str">
        <x:f>IF(A54="","",IF(COUNT(G54:H54)=2,G54*H54,""))</x:f>
      </x:c>
      <x:c r="J54" s="36"/>
      <x:c r="K54" s="36"/>
      <x:c r="L54" s="36"/>
      <x:c r="M54" s="36"/>
      <x:c r="N54" s="41" t="str">
        <x:f>IF(A54="","",IF(M54="NO","EXCLUDED",IF(AND(COUNTIF($A$6:$A$305,A54)=1,M54="YES",OR(B54="EA",B54="EP"),C54&lt;&gt;"",OR(D54="BL",D54="PJ",D54="LK"),F54&lt;&gt;"",ISNUMBER(I54),J54="t CO2e",K54&lt;&gt;"",L54&lt;&gt;""),"COMPLETE","HOLD: INPUT / EVIDENCE")))</x:f>
      </x:c>
    </x:row>
    <x:row r="55" ht="23" customHeight="1">
      <x:c r="A55" s="38"/>
      <x:c r="B55" s="36"/>
      <x:c r="C55" s="36"/>
      <x:c r="D55" s="36"/>
      <x:c r="E55" s="36"/>
      <x:c r="F55" s="36"/>
      <x:c r="G55" s="36"/>
      <x:c r="H55" s="36"/>
      <x:c r="I55" s="41" t="str">
        <x:f>IF(A55="","",IF(COUNT(G55:H55)=2,G55*H55,""))</x:f>
      </x:c>
      <x:c r="J55" s="36"/>
      <x:c r="K55" s="36"/>
      <x:c r="L55" s="36"/>
      <x:c r="M55" s="36"/>
      <x:c r="N55" s="41" t="str">
        <x:f>IF(A55="","",IF(M55="NO","EXCLUDED",IF(AND(COUNTIF($A$6:$A$305,A55)=1,M55="YES",OR(B55="EA",B55="EP"),C55&lt;&gt;"",OR(D55="BL",D55="PJ",D55="LK"),F55&lt;&gt;"",ISNUMBER(I55),J55="t CO2e",K55&lt;&gt;"",L55&lt;&gt;""),"COMPLETE","HOLD: INPUT / EVIDENCE")))</x:f>
      </x:c>
    </x:row>
    <x:row r="56" ht="23" customHeight="1">
      <x:c r="A56" s="38"/>
      <x:c r="B56" s="36"/>
      <x:c r="C56" s="36"/>
      <x:c r="D56" s="36"/>
      <x:c r="E56" s="36"/>
      <x:c r="F56" s="36"/>
      <x:c r="G56" s="36"/>
      <x:c r="H56" s="36"/>
      <x:c r="I56" s="41" t="str">
        <x:f>IF(A56="","",IF(COUNT(G56:H56)=2,G56*H56,""))</x:f>
      </x:c>
      <x:c r="J56" s="36"/>
      <x:c r="K56" s="36"/>
      <x:c r="L56" s="36"/>
      <x:c r="M56" s="36"/>
      <x:c r="N56" s="41" t="str">
        <x:f>IF(A56="","",IF(M56="NO","EXCLUDED",IF(AND(COUNTIF($A$6:$A$305,A56)=1,M56="YES",OR(B56="EA",B56="EP"),C56&lt;&gt;"",OR(D56="BL",D56="PJ",D56="LK"),F56&lt;&gt;"",ISNUMBER(I56),J56="t CO2e",K56&lt;&gt;"",L56&lt;&gt;""),"COMPLETE","HOLD: INPUT / EVIDENCE")))</x:f>
      </x:c>
    </x:row>
    <x:row r="57" ht="23" customHeight="1">
      <x:c r="A57" s="38"/>
      <x:c r="B57" s="36"/>
      <x:c r="C57" s="36"/>
      <x:c r="D57" s="36"/>
      <x:c r="E57" s="36"/>
      <x:c r="F57" s="36"/>
      <x:c r="G57" s="36"/>
      <x:c r="H57" s="36"/>
      <x:c r="I57" s="41" t="str">
        <x:f>IF(A57="","",IF(COUNT(G57:H57)=2,G57*H57,""))</x:f>
      </x:c>
      <x:c r="J57" s="36"/>
      <x:c r="K57" s="36"/>
      <x:c r="L57" s="36"/>
      <x:c r="M57" s="36"/>
      <x:c r="N57" s="41" t="str">
        <x:f>IF(A57="","",IF(M57="NO","EXCLUDED",IF(AND(COUNTIF($A$6:$A$305,A57)=1,M57="YES",OR(B57="EA",B57="EP"),C57&lt;&gt;"",OR(D57="BL",D57="PJ",D57="LK"),F57&lt;&gt;"",ISNUMBER(I57),J57="t CO2e",K57&lt;&gt;"",L57&lt;&gt;""),"COMPLETE","HOLD: INPUT / EVIDENCE")))</x:f>
      </x:c>
    </x:row>
    <x:row r="58" ht="23" customHeight="1">
      <x:c r="A58" s="38"/>
      <x:c r="B58" s="36"/>
      <x:c r="C58" s="36"/>
      <x:c r="D58" s="36"/>
      <x:c r="E58" s="36"/>
      <x:c r="F58" s="36"/>
      <x:c r="G58" s="36"/>
      <x:c r="H58" s="36"/>
      <x:c r="I58" s="41" t="str">
        <x:f>IF(A58="","",IF(COUNT(G58:H58)=2,G58*H58,""))</x:f>
      </x:c>
      <x:c r="J58" s="36"/>
      <x:c r="K58" s="36"/>
      <x:c r="L58" s="36"/>
      <x:c r="M58" s="36"/>
      <x:c r="N58" s="41" t="str">
        <x:f>IF(A58="","",IF(M58="NO","EXCLUDED",IF(AND(COUNTIF($A$6:$A$305,A58)=1,M58="YES",OR(B58="EA",B58="EP"),C58&lt;&gt;"",OR(D58="BL",D58="PJ",D58="LK"),F58&lt;&gt;"",ISNUMBER(I58),J58="t CO2e",K58&lt;&gt;"",L58&lt;&gt;""),"COMPLETE","HOLD: INPUT / EVIDENCE")))</x:f>
      </x:c>
    </x:row>
    <x:row r="59" ht="23" customHeight="1">
      <x:c r="A59" s="38"/>
      <x:c r="B59" s="36"/>
      <x:c r="C59" s="36"/>
      <x:c r="D59" s="36"/>
      <x:c r="E59" s="36"/>
      <x:c r="F59" s="36"/>
      <x:c r="G59" s="36"/>
      <x:c r="H59" s="36"/>
      <x:c r="I59" s="41" t="str">
        <x:f>IF(A59="","",IF(COUNT(G59:H59)=2,G59*H59,""))</x:f>
      </x:c>
      <x:c r="J59" s="36"/>
      <x:c r="K59" s="36"/>
      <x:c r="L59" s="36"/>
      <x:c r="M59" s="36"/>
      <x:c r="N59" s="41" t="str">
        <x:f>IF(A59="","",IF(M59="NO","EXCLUDED",IF(AND(COUNTIF($A$6:$A$305,A59)=1,M59="YES",OR(B59="EA",B59="EP"),C59&lt;&gt;"",OR(D59="BL",D59="PJ",D59="LK"),F59&lt;&gt;"",ISNUMBER(I59),J59="t CO2e",K59&lt;&gt;"",L59&lt;&gt;""),"COMPLETE","HOLD: INPUT / EVIDENCE")))</x:f>
      </x:c>
    </x:row>
    <x:row r="60" ht="23" customHeight="1">
      <x:c r="A60" s="38"/>
      <x:c r="B60" s="36"/>
      <x:c r="C60" s="36"/>
      <x:c r="D60" s="36"/>
      <x:c r="E60" s="36"/>
      <x:c r="F60" s="36"/>
      <x:c r="G60" s="36"/>
      <x:c r="H60" s="36"/>
      <x:c r="I60" s="41" t="str">
        <x:f>IF(A60="","",IF(COUNT(G60:H60)=2,G60*H60,""))</x:f>
      </x:c>
      <x:c r="J60" s="36"/>
      <x:c r="K60" s="36"/>
      <x:c r="L60" s="36"/>
      <x:c r="M60" s="36"/>
      <x:c r="N60" s="41" t="str">
        <x:f>IF(A60="","",IF(M60="NO","EXCLUDED",IF(AND(COUNTIF($A$6:$A$305,A60)=1,M60="YES",OR(B60="EA",B60="EP"),C60&lt;&gt;"",OR(D60="BL",D60="PJ",D60="LK"),F60&lt;&gt;"",ISNUMBER(I60),J60="t CO2e",K60&lt;&gt;"",L60&lt;&gt;""),"COMPLETE","HOLD: INPUT / EVIDENCE")))</x:f>
      </x:c>
    </x:row>
    <x:row r="61" ht="23" customHeight="1">
      <x:c r="A61" s="38"/>
      <x:c r="B61" s="36"/>
      <x:c r="C61" s="36"/>
      <x:c r="D61" s="36"/>
      <x:c r="E61" s="36"/>
      <x:c r="F61" s="36"/>
      <x:c r="G61" s="36"/>
      <x:c r="H61" s="36"/>
      <x:c r="I61" s="41" t="str">
        <x:f>IF(A61="","",IF(COUNT(G61:H61)=2,G61*H61,""))</x:f>
      </x:c>
      <x:c r="J61" s="36"/>
      <x:c r="K61" s="36"/>
      <x:c r="L61" s="36"/>
      <x:c r="M61" s="36"/>
      <x:c r="N61" s="41" t="str">
        <x:f>IF(A61="","",IF(M61="NO","EXCLUDED",IF(AND(COUNTIF($A$6:$A$305,A61)=1,M61="YES",OR(B61="EA",B61="EP"),C61&lt;&gt;"",OR(D61="BL",D61="PJ",D61="LK"),F61&lt;&gt;"",ISNUMBER(I61),J61="t CO2e",K61&lt;&gt;"",L61&lt;&gt;""),"COMPLETE","HOLD: INPUT / EVIDENCE")))</x:f>
      </x:c>
    </x:row>
    <x:row r="62" ht="23" customHeight="1">
      <x:c r="A62" s="38"/>
      <x:c r="B62" s="36"/>
      <x:c r="C62" s="36"/>
      <x:c r="D62" s="36"/>
      <x:c r="E62" s="36"/>
      <x:c r="F62" s="36"/>
      <x:c r="G62" s="36"/>
      <x:c r="H62" s="36"/>
      <x:c r="I62" s="41" t="str">
        <x:f>IF(A62="","",IF(COUNT(G62:H62)=2,G62*H62,""))</x:f>
      </x:c>
      <x:c r="J62" s="36"/>
      <x:c r="K62" s="36"/>
      <x:c r="L62" s="36"/>
      <x:c r="M62" s="36"/>
      <x:c r="N62" s="41" t="str">
        <x:f>IF(A62="","",IF(M62="NO","EXCLUDED",IF(AND(COUNTIF($A$6:$A$305,A62)=1,M62="YES",OR(B62="EA",B62="EP"),C62&lt;&gt;"",OR(D62="BL",D62="PJ",D62="LK"),F62&lt;&gt;"",ISNUMBER(I62),J62="t CO2e",K62&lt;&gt;"",L62&lt;&gt;""),"COMPLETE","HOLD: INPUT / EVIDENCE")))</x:f>
      </x:c>
    </x:row>
    <x:row r="63" ht="23" customHeight="1">
      <x:c r="A63" s="38"/>
      <x:c r="B63" s="36"/>
      <x:c r="C63" s="36"/>
      <x:c r="D63" s="36"/>
      <x:c r="E63" s="36"/>
      <x:c r="F63" s="36"/>
      <x:c r="G63" s="36"/>
      <x:c r="H63" s="36"/>
      <x:c r="I63" s="41" t="str">
        <x:f>IF(A63="","",IF(COUNT(G63:H63)=2,G63*H63,""))</x:f>
      </x:c>
      <x:c r="J63" s="36"/>
      <x:c r="K63" s="36"/>
      <x:c r="L63" s="36"/>
      <x:c r="M63" s="36"/>
      <x:c r="N63" s="41" t="str">
        <x:f>IF(A63="","",IF(M63="NO","EXCLUDED",IF(AND(COUNTIF($A$6:$A$305,A63)=1,M63="YES",OR(B63="EA",B63="EP"),C63&lt;&gt;"",OR(D63="BL",D63="PJ",D63="LK"),F63&lt;&gt;"",ISNUMBER(I63),J63="t CO2e",K63&lt;&gt;"",L63&lt;&gt;""),"COMPLETE","HOLD: INPUT / EVIDENCE")))</x:f>
      </x:c>
    </x:row>
    <x:row r="64" ht="23" customHeight="1">
      <x:c r="A64" s="38"/>
      <x:c r="B64" s="36"/>
      <x:c r="C64" s="36"/>
      <x:c r="D64" s="36"/>
      <x:c r="E64" s="36"/>
      <x:c r="F64" s="36"/>
      <x:c r="G64" s="36"/>
      <x:c r="H64" s="36"/>
      <x:c r="I64" s="41" t="str">
        <x:f>IF(A64="","",IF(COUNT(G64:H64)=2,G64*H64,""))</x:f>
      </x:c>
      <x:c r="J64" s="36"/>
      <x:c r="K64" s="36"/>
      <x:c r="L64" s="36"/>
      <x:c r="M64" s="36"/>
      <x:c r="N64" s="41" t="str">
        <x:f>IF(A64="","",IF(M64="NO","EXCLUDED",IF(AND(COUNTIF($A$6:$A$305,A64)=1,M64="YES",OR(B64="EA",B64="EP"),C64&lt;&gt;"",OR(D64="BL",D64="PJ",D64="LK"),F64&lt;&gt;"",ISNUMBER(I64),J64="t CO2e",K64&lt;&gt;"",L64&lt;&gt;""),"COMPLETE","HOLD: INPUT / EVIDENCE")))</x:f>
      </x:c>
    </x:row>
    <x:row r="65" ht="23" customHeight="1">
      <x:c r="A65" s="38"/>
      <x:c r="B65" s="36"/>
      <x:c r="C65" s="36"/>
      <x:c r="D65" s="36"/>
      <x:c r="E65" s="36"/>
      <x:c r="F65" s="36"/>
      <x:c r="G65" s="36"/>
      <x:c r="H65" s="36"/>
      <x:c r="I65" s="41" t="str">
        <x:f>IF(A65="","",IF(COUNT(G65:H65)=2,G65*H65,""))</x:f>
      </x:c>
      <x:c r="J65" s="36"/>
      <x:c r="K65" s="36"/>
      <x:c r="L65" s="36"/>
      <x:c r="M65" s="36"/>
      <x:c r="N65" s="41" t="str">
        <x:f>IF(A65="","",IF(M65="NO","EXCLUDED",IF(AND(COUNTIF($A$6:$A$305,A65)=1,M65="YES",OR(B65="EA",B65="EP"),C65&lt;&gt;"",OR(D65="BL",D65="PJ",D65="LK"),F65&lt;&gt;"",ISNUMBER(I65),J65="t CO2e",K65&lt;&gt;"",L65&lt;&gt;""),"COMPLETE","HOLD: INPUT / EVIDENCE")))</x:f>
      </x:c>
    </x:row>
    <x:row r="66" ht="23" customHeight="1">
      <x:c r="A66" s="38"/>
      <x:c r="B66" s="36"/>
      <x:c r="C66" s="36"/>
      <x:c r="D66" s="36"/>
      <x:c r="E66" s="36"/>
      <x:c r="F66" s="36"/>
      <x:c r="G66" s="36"/>
      <x:c r="H66" s="36"/>
      <x:c r="I66" s="41" t="str">
        <x:f>IF(A66="","",IF(COUNT(G66:H66)=2,G66*H66,""))</x:f>
      </x:c>
      <x:c r="J66" s="36"/>
      <x:c r="K66" s="36"/>
      <x:c r="L66" s="36"/>
      <x:c r="M66" s="36"/>
      <x:c r="N66" s="41" t="str">
        <x:f>IF(A66="","",IF(M66="NO","EXCLUDED",IF(AND(COUNTIF($A$6:$A$305,A66)=1,M66="YES",OR(B66="EA",B66="EP"),C66&lt;&gt;"",OR(D66="BL",D66="PJ",D66="LK"),F66&lt;&gt;"",ISNUMBER(I66),J66="t CO2e",K66&lt;&gt;"",L66&lt;&gt;""),"COMPLETE","HOLD: INPUT / EVIDENCE")))</x:f>
      </x:c>
    </x:row>
    <x:row r="67" ht="23" customHeight="1">
      <x:c r="A67" s="38"/>
      <x:c r="B67" s="36"/>
      <x:c r="C67" s="36"/>
      <x:c r="D67" s="36"/>
      <x:c r="E67" s="36"/>
      <x:c r="F67" s="36"/>
      <x:c r="G67" s="36"/>
      <x:c r="H67" s="36"/>
      <x:c r="I67" s="41" t="str">
        <x:f>IF(A67="","",IF(COUNT(G67:H67)=2,G67*H67,""))</x:f>
      </x:c>
      <x:c r="J67" s="36"/>
      <x:c r="K67" s="36"/>
      <x:c r="L67" s="36"/>
      <x:c r="M67" s="36"/>
      <x:c r="N67" s="41" t="str">
        <x:f>IF(A67="","",IF(M67="NO","EXCLUDED",IF(AND(COUNTIF($A$6:$A$305,A67)=1,M67="YES",OR(B67="EA",B67="EP"),C67&lt;&gt;"",OR(D67="BL",D67="PJ",D67="LK"),F67&lt;&gt;"",ISNUMBER(I67),J67="t CO2e",K67&lt;&gt;"",L67&lt;&gt;""),"COMPLETE","HOLD: INPUT / EVIDENCE")))</x:f>
      </x:c>
    </x:row>
    <x:row r="68" ht="23" customHeight="1">
      <x:c r="A68" s="38"/>
      <x:c r="B68" s="36"/>
      <x:c r="C68" s="36"/>
      <x:c r="D68" s="36"/>
      <x:c r="E68" s="36"/>
      <x:c r="F68" s="36"/>
      <x:c r="G68" s="36"/>
      <x:c r="H68" s="36"/>
      <x:c r="I68" s="41" t="str">
        <x:f>IF(A68="","",IF(COUNT(G68:H68)=2,G68*H68,""))</x:f>
      </x:c>
      <x:c r="J68" s="36"/>
      <x:c r="K68" s="36"/>
      <x:c r="L68" s="36"/>
      <x:c r="M68" s="36"/>
      <x:c r="N68" s="41" t="str">
        <x:f>IF(A68="","",IF(M68="NO","EXCLUDED",IF(AND(COUNTIF($A$6:$A$305,A68)=1,M68="YES",OR(B68="EA",B68="EP"),C68&lt;&gt;"",OR(D68="BL",D68="PJ",D68="LK"),F68&lt;&gt;"",ISNUMBER(I68),J68="t CO2e",K68&lt;&gt;"",L68&lt;&gt;""),"COMPLETE","HOLD: INPUT / EVIDENCE")))</x:f>
      </x:c>
    </x:row>
    <x:row r="69" ht="23" customHeight="1">
      <x:c r="A69" s="38"/>
      <x:c r="B69" s="36"/>
      <x:c r="C69" s="36"/>
      <x:c r="D69" s="36"/>
      <x:c r="E69" s="36"/>
      <x:c r="F69" s="36"/>
      <x:c r="G69" s="36"/>
      <x:c r="H69" s="36"/>
      <x:c r="I69" s="41" t="str">
        <x:f>IF(A69="","",IF(COUNT(G69:H69)=2,G69*H69,""))</x:f>
      </x:c>
      <x:c r="J69" s="36"/>
      <x:c r="K69" s="36"/>
      <x:c r="L69" s="36"/>
      <x:c r="M69" s="36"/>
      <x:c r="N69" s="41" t="str">
        <x:f>IF(A69="","",IF(M69="NO","EXCLUDED",IF(AND(COUNTIF($A$6:$A$305,A69)=1,M69="YES",OR(B69="EA",B69="EP"),C69&lt;&gt;"",OR(D69="BL",D69="PJ",D69="LK"),F69&lt;&gt;"",ISNUMBER(I69),J69="t CO2e",K69&lt;&gt;"",L69&lt;&gt;""),"COMPLETE","HOLD: INPUT / EVIDENCE")))</x:f>
      </x:c>
    </x:row>
    <x:row r="70" ht="23" customHeight="1">
      <x:c r="A70" s="38"/>
      <x:c r="B70" s="36"/>
      <x:c r="C70" s="36"/>
      <x:c r="D70" s="36"/>
      <x:c r="E70" s="36"/>
      <x:c r="F70" s="36"/>
      <x:c r="G70" s="36"/>
      <x:c r="H70" s="36"/>
      <x:c r="I70" s="41" t="str">
        <x:f>IF(A70="","",IF(COUNT(G70:H70)=2,G70*H70,""))</x:f>
      </x:c>
      <x:c r="J70" s="36"/>
      <x:c r="K70" s="36"/>
      <x:c r="L70" s="36"/>
      <x:c r="M70" s="36"/>
      <x:c r="N70" s="41" t="str">
        <x:f>IF(A70="","",IF(M70="NO","EXCLUDED",IF(AND(COUNTIF($A$6:$A$305,A70)=1,M70="YES",OR(B70="EA",B70="EP"),C70&lt;&gt;"",OR(D70="BL",D70="PJ",D70="LK"),F70&lt;&gt;"",ISNUMBER(I70),J70="t CO2e",K70&lt;&gt;"",L70&lt;&gt;""),"COMPLETE","HOLD: INPUT / EVIDENCE")))</x:f>
      </x:c>
    </x:row>
    <x:row r="71" ht="23" customHeight="1">
      <x:c r="A71" s="38"/>
      <x:c r="B71" s="36"/>
      <x:c r="C71" s="36"/>
      <x:c r="D71" s="36"/>
      <x:c r="E71" s="36"/>
      <x:c r="F71" s="36"/>
      <x:c r="G71" s="36"/>
      <x:c r="H71" s="36"/>
      <x:c r="I71" s="41" t="str">
        <x:f>IF(A71="","",IF(COUNT(G71:H71)=2,G71*H71,""))</x:f>
      </x:c>
      <x:c r="J71" s="36"/>
      <x:c r="K71" s="36"/>
      <x:c r="L71" s="36"/>
      <x:c r="M71" s="36"/>
      <x:c r="N71" s="41" t="str">
        <x:f>IF(A71="","",IF(M71="NO","EXCLUDED",IF(AND(COUNTIF($A$6:$A$305,A71)=1,M71="YES",OR(B71="EA",B71="EP"),C71&lt;&gt;"",OR(D71="BL",D71="PJ",D71="LK"),F71&lt;&gt;"",ISNUMBER(I71),J71="t CO2e",K71&lt;&gt;"",L71&lt;&gt;""),"COMPLETE","HOLD: INPUT / EVIDENCE")))</x:f>
      </x:c>
    </x:row>
    <x:row r="72" ht="23" customHeight="1">
      <x:c r="A72" s="38"/>
      <x:c r="B72" s="36"/>
      <x:c r="C72" s="36"/>
      <x:c r="D72" s="36"/>
      <x:c r="E72" s="36"/>
      <x:c r="F72" s="36"/>
      <x:c r="G72" s="36"/>
      <x:c r="H72" s="36"/>
      <x:c r="I72" s="41" t="str">
        <x:f>IF(A72="","",IF(COUNT(G72:H72)=2,G72*H72,""))</x:f>
      </x:c>
      <x:c r="J72" s="36"/>
      <x:c r="K72" s="36"/>
      <x:c r="L72" s="36"/>
      <x:c r="M72" s="36"/>
      <x:c r="N72" s="41" t="str">
        <x:f>IF(A72="","",IF(M72="NO","EXCLUDED",IF(AND(COUNTIF($A$6:$A$305,A72)=1,M72="YES",OR(B72="EA",B72="EP"),C72&lt;&gt;"",OR(D72="BL",D72="PJ",D72="LK"),F72&lt;&gt;"",ISNUMBER(I72),J72="t CO2e",K72&lt;&gt;"",L72&lt;&gt;""),"COMPLETE","HOLD: INPUT / EVIDENCE")))</x:f>
      </x:c>
    </x:row>
    <x:row r="73" ht="23" customHeight="1">
      <x:c r="A73" s="38"/>
      <x:c r="B73" s="36"/>
      <x:c r="C73" s="36"/>
      <x:c r="D73" s="36"/>
      <x:c r="E73" s="36"/>
      <x:c r="F73" s="36"/>
      <x:c r="G73" s="36"/>
      <x:c r="H73" s="36"/>
      <x:c r="I73" s="41" t="str">
        <x:f>IF(A73="","",IF(COUNT(G73:H73)=2,G73*H73,""))</x:f>
      </x:c>
      <x:c r="J73" s="36"/>
      <x:c r="K73" s="36"/>
      <x:c r="L73" s="36"/>
      <x:c r="M73" s="36"/>
      <x:c r="N73" s="41" t="str">
        <x:f>IF(A73="","",IF(M73="NO","EXCLUDED",IF(AND(COUNTIF($A$6:$A$305,A73)=1,M73="YES",OR(B73="EA",B73="EP"),C73&lt;&gt;"",OR(D73="BL",D73="PJ",D73="LK"),F73&lt;&gt;"",ISNUMBER(I73),J73="t CO2e",K73&lt;&gt;"",L73&lt;&gt;""),"COMPLETE","HOLD: INPUT / EVIDENCE")))</x:f>
      </x:c>
    </x:row>
    <x:row r="74" ht="23" customHeight="1">
      <x:c r="A74" s="38"/>
      <x:c r="B74" s="36"/>
      <x:c r="C74" s="36"/>
      <x:c r="D74" s="36"/>
      <x:c r="E74" s="36"/>
      <x:c r="F74" s="36"/>
      <x:c r="G74" s="36"/>
      <x:c r="H74" s="36"/>
      <x:c r="I74" s="41" t="str">
        <x:f>IF(A74="","",IF(COUNT(G74:H74)=2,G74*H74,""))</x:f>
      </x:c>
      <x:c r="J74" s="36"/>
      <x:c r="K74" s="36"/>
      <x:c r="L74" s="36"/>
      <x:c r="M74" s="36"/>
      <x:c r="N74" s="41" t="str">
        <x:f>IF(A74="","",IF(M74="NO","EXCLUDED",IF(AND(COUNTIF($A$6:$A$305,A74)=1,M74="YES",OR(B74="EA",B74="EP"),C74&lt;&gt;"",OR(D74="BL",D74="PJ",D74="LK"),F74&lt;&gt;"",ISNUMBER(I74),J74="t CO2e",K74&lt;&gt;"",L74&lt;&gt;""),"COMPLETE","HOLD: INPUT / EVIDENCE")))</x:f>
      </x:c>
    </x:row>
    <x:row r="75" ht="23" customHeight="1">
      <x:c r="A75" s="38"/>
      <x:c r="B75" s="36"/>
      <x:c r="C75" s="36"/>
      <x:c r="D75" s="36"/>
      <x:c r="E75" s="36"/>
      <x:c r="F75" s="36"/>
      <x:c r="G75" s="36"/>
      <x:c r="H75" s="36"/>
      <x:c r="I75" s="41" t="str">
        <x:f>IF(A75="","",IF(COUNT(G75:H75)=2,G75*H75,""))</x:f>
      </x:c>
      <x:c r="J75" s="36"/>
      <x:c r="K75" s="36"/>
      <x:c r="L75" s="36"/>
      <x:c r="M75" s="36"/>
      <x:c r="N75" s="41" t="str">
        <x:f>IF(A75="","",IF(M75="NO","EXCLUDED",IF(AND(COUNTIF($A$6:$A$305,A75)=1,M75="YES",OR(B75="EA",B75="EP"),C75&lt;&gt;"",OR(D75="BL",D75="PJ",D75="LK"),F75&lt;&gt;"",ISNUMBER(I75),J75="t CO2e",K75&lt;&gt;"",L75&lt;&gt;""),"COMPLETE","HOLD: INPUT / EVIDENCE")))</x:f>
      </x:c>
    </x:row>
    <x:row r="76" ht="23" customHeight="1">
      <x:c r="A76" s="38"/>
      <x:c r="B76" s="36"/>
      <x:c r="C76" s="36"/>
      <x:c r="D76" s="36"/>
      <x:c r="E76" s="36"/>
      <x:c r="F76" s="36"/>
      <x:c r="G76" s="36"/>
      <x:c r="H76" s="36"/>
      <x:c r="I76" s="41" t="str">
        <x:f>IF(A76="","",IF(COUNT(G76:H76)=2,G76*H76,""))</x:f>
      </x:c>
      <x:c r="J76" s="36"/>
      <x:c r="K76" s="36"/>
      <x:c r="L76" s="36"/>
      <x:c r="M76" s="36"/>
      <x:c r="N76" s="41" t="str">
        <x:f>IF(A76="","",IF(M76="NO","EXCLUDED",IF(AND(COUNTIF($A$6:$A$305,A76)=1,M76="YES",OR(B76="EA",B76="EP"),C76&lt;&gt;"",OR(D76="BL",D76="PJ",D76="LK"),F76&lt;&gt;"",ISNUMBER(I76),J76="t CO2e",K76&lt;&gt;"",L76&lt;&gt;""),"COMPLETE","HOLD: INPUT / EVIDENCE")))</x:f>
      </x:c>
    </x:row>
    <x:row r="77" ht="23" customHeight="1">
      <x:c r="A77" s="38"/>
      <x:c r="B77" s="36"/>
      <x:c r="C77" s="36"/>
      <x:c r="D77" s="36"/>
      <x:c r="E77" s="36"/>
      <x:c r="F77" s="36"/>
      <x:c r="G77" s="36"/>
      <x:c r="H77" s="36"/>
      <x:c r="I77" s="41" t="str">
        <x:f>IF(A77="","",IF(COUNT(G77:H77)=2,G77*H77,""))</x:f>
      </x:c>
      <x:c r="J77" s="36"/>
      <x:c r="K77" s="36"/>
      <x:c r="L77" s="36"/>
      <x:c r="M77" s="36"/>
      <x:c r="N77" s="41" t="str">
        <x:f>IF(A77="","",IF(M77="NO","EXCLUDED",IF(AND(COUNTIF($A$6:$A$305,A77)=1,M77="YES",OR(B77="EA",B77="EP"),C77&lt;&gt;"",OR(D77="BL",D77="PJ",D77="LK"),F77&lt;&gt;"",ISNUMBER(I77),J77="t CO2e",K77&lt;&gt;"",L77&lt;&gt;""),"COMPLETE","HOLD: INPUT / EVIDENCE")))</x:f>
      </x:c>
    </x:row>
    <x:row r="78" ht="23" customHeight="1">
      <x:c r="A78" s="38"/>
      <x:c r="B78" s="36"/>
      <x:c r="C78" s="36"/>
      <x:c r="D78" s="36"/>
      <x:c r="E78" s="36"/>
      <x:c r="F78" s="36"/>
      <x:c r="G78" s="36"/>
      <x:c r="H78" s="36"/>
      <x:c r="I78" s="41" t="str">
        <x:f>IF(A78="","",IF(COUNT(G78:H78)=2,G78*H78,""))</x:f>
      </x:c>
      <x:c r="J78" s="36"/>
      <x:c r="K78" s="36"/>
      <x:c r="L78" s="36"/>
      <x:c r="M78" s="36"/>
      <x:c r="N78" s="41" t="str">
        <x:f>IF(A78="","",IF(M78="NO","EXCLUDED",IF(AND(COUNTIF($A$6:$A$305,A78)=1,M78="YES",OR(B78="EA",B78="EP"),C78&lt;&gt;"",OR(D78="BL",D78="PJ",D78="LK"),F78&lt;&gt;"",ISNUMBER(I78),J78="t CO2e",K78&lt;&gt;"",L78&lt;&gt;""),"COMPLETE","HOLD: INPUT / EVIDENCE")))</x:f>
      </x:c>
    </x:row>
    <x:row r="79" ht="23" customHeight="1">
      <x:c r="A79" s="38"/>
      <x:c r="B79" s="36"/>
      <x:c r="C79" s="36"/>
      <x:c r="D79" s="36"/>
      <x:c r="E79" s="36"/>
      <x:c r="F79" s="36"/>
      <x:c r="G79" s="36"/>
      <x:c r="H79" s="36"/>
      <x:c r="I79" s="41" t="str">
        <x:f>IF(A79="","",IF(COUNT(G79:H79)=2,G79*H79,""))</x:f>
      </x:c>
      <x:c r="J79" s="36"/>
      <x:c r="K79" s="36"/>
      <x:c r="L79" s="36"/>
      <x:c r="M79" s="36"/>
      <x:c r="N79" s="41" t="str">
        <x:f>IF(A79="","",IF(M79="NO","EXCLUDED",IF(AND(COUNTIF($A$6:$A$305,A79)=1,M79="YES",OR(B79="EA",B79="EP"),C79&lt;&gt;"",OR(D79="BL",D79="PJ",D79="LK"),F79&lt;&gt;"",ISNUMBER(I79),J79="t CO2e",K79&lt;&gt;"",L79&lt;&gt;""),"COMPLETE","HOLD: INPUT / EVIDENCE")))</x:f>
      </x:c>
    </x:row>
    <x:row r="80" ht="23" customHeight="1">
      <x:c r="A80" s="38"/>
      <x:c r="B80" s="36"/>
      <x:c r="C80" s="36"/>
      <x:c r="D80" s="36"/>
      <x:c r="E80" s="36"/>
      <x:c r="F80" s="36"/>
      <x:c r="G80" s="36"/>
      <x:c r="H80" s="36"/>
      <x:c r="I80" s="41" t="str">
        <x:f>IF(A80="","",IF(COUNT(G80:H80)=2,G80*H80,""))</x:f>
      </x:c>
      <x:c r="J80" s="36"/>
      <x:c r="K80" s="36"/>
      <x:c r="L80" s="36"/>
      <x:c r="M80" s="36"/>
      <x:c r="N80" s="41" t="str">
        <x:f>IF(A80="","",IF(M80="NO","EXCLUDED",IF(AND(COUNTIF($A$6:$A$305,A80)=1,M80="YES",OR(B80="EA",B80="EP"),C80&lt;&gt;"",OR(D80="BL",D80="PJ",D80="LK"),F80&lt;&gt;"",ISNUMBER(I80),J80="t CO2e",K80&lt;&gt;"",L80&lt;&gt;""),"COMPLETE","HOLD: INPUT / EVIDENCE")))</x:f>
      </x:c>
    </x:row>
    <x:row r="81" ht="23" customHeight="1">
      <x:c r="A81" s="38"/>
      <x:c r="B81" s="36"/>
      <x:c r="C81" s="36"/>
      <x:c r="D81" s="36"/>
      <x:c r="E81" s="36"/>
      <x:c r="F81" s="36"/>
      <x:c r="G81" s="36"/>
      <x:c r="H81" s="36"/>
      <x:c r="I81" s="41" t="str">
        <x:f>IF(A81="","",IF(COUNT(G81:H81)=2,G81*H81,""))</x:f>
      </x:c>
      <x:c r="J81" s="36"/>
      <x:c r="K81" s="36"/>
      <x:c r="L81" s="36"/>
      <x:c r="M81" s="36"/>
      <x:c r="N81" s="41" t="str">
        <x:f>IF(A81="","",IF(M81="NO","EXCLUDED",IF(AND(COUNTIF($A$6:$A$305,A81)=1,M81="YES",OR(B81="EA",B81="EP"),C81&lt;&gt;"",OR(D81="BL",D81="PJ",D81="LK"),F81&lt;&gt;"",ISNUMBER(I81),J81="t CO2e",K81&lt;&gt;"",L81&lt;&gt;""),"COMPLETE","HOLD: INPUT / EVIDENCE")))</x:f>
      </x:c>
    </x:row>
    <x:row r="82" ht="23" customHeight="1">
      <x:c r="A82" s="38"/>
      <x:c r="B82" s="36"/>
      <x:c r="C82" s="36"/>
      <x:c r="D82" s="36"/>
      <x:c r="E82" s="36"/>
      <x:c r="F82" s="36"/>
      <x:c r="G82" s="36"/>
      <x:c r="H82" s="36"/>
      <x:c r="I82" s="41" t="str">
        <x:f>IF(A82="","",IF(COUNT(G82:H82)=2,G82*H82,""))</x:f>
      </x:c>
      <x:c r="J82" s="36"/>
      <x:c r="K82" s="36"/>
      <x:c r="L82" s="36"/>
      <x:c r="M82" s="36"/>
      <x:c r="N82" s="41" t="str">
        <x:f>IF(A82="","",IF(M82="NO","EXCLUDED",IF(AND(COUNTIF($A$6:$A$305,A82)=1,M82="YES",OR(B82="EA",B82="EP"),C82&lt;&gt;"",OR(D82="BL",D82="PJ",D82="LK"),F82&lt;&gt;"",ISNUMBER(I82),J82="t CO2e",K82&lt;&gt;"",L82&lt;&gt;""),"COMPLETE","HOLD: INPUT / EVIDENCE")))</x:f>
      </x:c>
    </x:row>
    <x:row r="83" ht="23" customHeight="1">
      <x:c r="A83" s="38"/>
      <x:c r="B83" s="36"/>
      <x:c r="C83" s="36"/>
      <x:c r="D83" s="36"/>
      <x:c r="E83" s="36"/>
      <x:c r="F83" s="36"/>
      <x:c r="G83" s="36"/>
      <x:c r="H83" s="36"/>
      <x:c r="I83" s="41" t="str">
        <x:f>IF(A83="","",IF(COUNT(G83:H83)=2,G83*H83,""))</x:f>
      </x:c>
      <x:c r="J83" s="36"/>
      <x:c r="K83" s="36"/>
      <x:c r="L83" s="36"/>
      <x:c r="M83" s="36"/>
      <x:c r="N83" s="41" t="str">
        <x:f>IF(A83="","",IF(M83="NO","EXCLUDED",IF(AND(COUNTIF($A$6:$A$305,A83)=1,M83="YES",OR(B83="EA",B83="EP"),C83&lt;&gt;"",OR(D83="BL",D83="PJ",D83="LK"),F83&lt;&gt;"",ISNUMBER(I83),J83="t CO2e",K83&lt;&gt;"",L83&lt;&gt;""),"COMPLETE","HOLD: INPUT / EVIDENCE")))</x:f>
      </x:c>
    </x:row>
    <x:row r="84" ht="23" customHeight="1">
      <x:c r="A84" s="38"/>
      <x:c r="B84" s="36"/>
      <x:c r="C84" s="36"/>
      <x:c r="D84" s="36"/>
      <x:c r="E84" s="36"/>
      <x:c r="F84" s="36"/>
      <x:c r="G84" s="36"/>
      <x:c r="H84" s="36"/>
      <x:c r="I84" s="41" t="str">
        <x:f>IF(A84="","",IF(COUNT(G84:H84)=2,G84*H84,""))</x:f>
      </x:c>
      <x:c r="J84" s="36"/>
      <x:c r="K84" s="36"/>
      <x:c r="L84" s="36"/>
      <x:c r="M84" s="36"/>
      <x:c r="N84" s="41" t="str">
        <x:f>IF(A84="","",IF(M84="NO","EXCLUDED",IF(AND(COUNTIF($A$6:$A$305,A84)=1,M84="YES",OR(B84="EA",B84="EP"),C84&lt;&gt;"",OR(D84="BL",D84="PJ",D84="LK"),F84&lt;&gt;"",ISNUMBER(I84),J84="t CO2e",K84&lt;&gt;"",L84&lt;&gt;""),"COMPLETE","HOLD: INPUT / EVIDENCE")))</x:f>
      </x:c>
    </x:row>
    <x:row r="85" ht="23" customHeight="1">
      <x:c r="A85" s="38"/>
      <x:c r="B85" s="36"/>
      <x:c r="C85" s="36"/>
      <x:c r="D85" s="36"/>
      <x:c r="E85" s="36"/>
      <x:c r="F85" s="36"/>
      <x:c r="G85" s="36"/>
      <x:c r="H85" s="36"/>
      <x:c r="I85" s="41" t="str">
        <x:f>IF(A85="","",IF(COUNT(G85:H85)=2,G85*H85,""))</x:f>
      </x:c>
      <x:c r="J85" s="36"/>
      <x:c r="K85" s="36"/>
      <x:c r="L85" s="36"/>
      <x:c r="M85" s="36"/>
      <x:c r="N85" s="41" t="str">
        <x:f>IF(A85="","",IF(M85="NO","EXCLUDED",IF(AND(COUNTIF($A$6:$A$305,A85)=1,M85="YES",OR(B85="EA",B85="EP"),C85&lt;&gt;"",OR(D85="BL",D85="PJ",D85="LK"),F85&lt;&gt;"",ISNUMBER(I85),J85="t CO2e",K85&lt;&gt;"",L85&lt;&gt;""),"COMPLETE","HOLD: INPUT / EVIDENCE")))</x:f>
      </x:c>
    </x:row>
    <x:row r="86" ht="23" customHeight="1">
      <x:c r="A86" s="38"/>
      <x:c r="B86" s="36"/>
      <x:c r="C86" s="36"/>
      <x:c r="D86" s="36"/>
      <x:c r="E86" s="36"/>
      <x:c r="F86" s="36"/>
      <x:c r="G86" s="36"/>
      <x:c r="H86" s="36"/>
      <x:c r="I86" s="41" t="str">
        <x:f>IF(A86="","",IF(COUNT(G86:H86)=2,G86*H86,""))</x:f>
      </x:c>
      <x:c r="J86" s="36"/>
      <x:c r="K86" s="36"/>
      <x:c r="L86" s="36"/>
      <x:c r="M86" s="36"/>
      <x:c r="N86" s="41" t="str">
        <x:f>IF(A86="","",IF(M86="NO","EXCLUDED",IF(AND(COUNTIF($A$6:$A$305,A86)=1,M86="YES",OR(B86="EA",B86="EP"),C86&lt;&gt;"",OR(D86="BL",D86="PJ",D86="LK"),F86&lt;&gt;"",ISNUMBER(I86),J86="t CO2e",K86&lt;&gt;"",L86&lt;&gt;""),"COMPLETE","HOLD: INPUT / EVIDENCE")))</x:f>
      </x:c>
    </x:row>
    <x:row r="87" ht="23" customHeight="1">
      <x:c r="A87" s="38"/>
      <x:c r="B87" s="36"/>
      <x:c r="C87" s="36"/>
      <x:c r="D87" s="36"/>
      <x:c r="E87" s="36"/>
      <x:c r="F87" s="36"/>
      <x:c r="G87" s="36"/>
      <x:c r="H87" s="36"/>
      <x:c r="I87" s="41" t="str">
        <x:f>IF(A87="","",IF(COUNT(G87:H87)=2,G87*H87,""))</x:f>
      </x:c>
      <x:c r="J87" s="36"/>
      <x:c r="K87" s="36"/>
      <x:c r="L87" s="36"/>
      <x:c r="M87" s="36"/>
      <x:c r="N87" s="41" t="str">
        <x:f>IF(A87="","",IF(M87="NO","EXCLUDED",IF(AND(COUNTIF($A$6:$A$305,A87)=1,M87="YES",OR(B87="EA",B87="EP"),C87&lt;&gt;"",OR(D87="BL",D87="PJ",D87="LK"),F87&lt;&gt;"",ISNUMBER(I87),J87="t CO2e",K87&lt;&gt;"",L87&lt;&gt;""),"COMPLETE","HOLD: INPUT / EVIDENCE")))</x:f>
      </x:c>
    </x:row>
    <x:row r="88" ht="23" customHeight="1">
      <x:c r="A88" s="38"/>
      <x:c r="B88" s="36"/>
      <x:c r="C88" s="36"/>
      <x:c r="D88" s="36"/>
      <x:c r="E88" s="36"/>
      <x:c r="F88" s="36"/>
      <x:c r="G88" s="36"/>
      <x:c r="H88" s="36"/>
      <x:c r="I88" s="41" t="str">
        <x:f>IF(A88="","",IF(COUNT(G88:H88)=2,G88*H88,""))</x:f>
      </x:c>
      <x:c r="J88" s="36"/>
      <x:c r="K88" s="36"/>
      <x:c r="L88" s="36"/>
      <x:c r="M88" s="36"/>
      <x:c r="N88" s="41" t="str">
        <x:f>IF(A88="","",IF(M88="NO","EXCLUDED",IF(AND(COUNTIF($A$6:$A$305,A88)=1,M88="YES",OR(B88="EA",B88="EP"),C88&lt;&gt;"",OR(D88="BL",D88="PJ",D88="LK"),F88&lt;&gt;"",ISNUMBER(I88),J88="t CO2e",K88&lt;&gt;"",L88&lt;&gt;""),"COMPLETE","HOLD: INPUT / EVIDENCE")))</x:f>
      </x:c>
    </x:row>
    <x:row r="89" ht="23" customHeight="1">
      <x:c r="A89" s="38"/>
      <x:c r="B89" s="36"/>
      <x:c r="C89" s="36"/>
      <x:c r="D89" s="36"/>
      <x:c r="E89" s="36"/>
      <x:c r="F89" s="36"/>
      <x:c r="G89" s="36"/>
      <x:c r="H89" s="36"/>
      <x:c r="I89" s="41" t="str">
        <x:f>IF(A89="","",IF(COUNT(G89:H89)=2,G89*H89,""))</x:f>
      </x:c>
      <x:c r="J89" s="36"/>
      <x:c r="K89" s="36"/>
      <x:c r="L89" s="36"/>
      <x:c r="M89" s="36"/>
      <x:c r="N89" s="41" t="str">
        <x:f>IF(A89="","",IF(M89="NO","EXCLUDED",IF(AND(COUNTIF($A$6:$A$305,A89)=1,M89="YES",OR(B89="EA",B89="EP"),C89&lt;&gt;"",OR(D89="BL",D89="PJ",D89="LK"),F89&lt;&gt;"",ISNUMBER(I89),J89="t CO2e",K89&lt;&gt;"",L89&lt;&gt;""),"COMPLETE","HOLD: INPUT / EVIDENCE")))</x:f>
      </x:c>
    </x:row>
    <x:row r="90" ht="23" customHeight="1">
      <x:c r="A90" s="38"/>
      <x:c r="B90" s="36"/>
      <x:c r="C90" s="36"/>
      <x:c r="D90" s="36"/>
      <x:c r="E90" s="36"/>
      <x:c r="F90" s="36"/>
      <x:c r="G90" s="36"/>
      <x:c r="H90" s="36"/>
      <x:c r="I90" s="41" t="str">
        <x:f>IF(A90="","",IF(COUNT(G90:H90)=2,G90*H90,""))</x:f>
      </x:c>
      <x:c r="J90" s="36"/>
      <x:c r="K90" s="36"/>
      <x:c r="L90" s="36"/>
      <x:c r="M90" s="36"/>
      <x:c r="N90" s="41" t="str">
        <x:f>IF(A90="","",IF(M90="NO","EXCLUDED",IF(AND(COUNTIF($A$6:$A$305,A90)=1,M90="YES",OR(B90="EA",B90="EP"),C90&lt;&gt;"",OR(D90="BL",D90="PJ",D90="LK"),F90&lt;&gt;"",ISNUMBER(I90),J90="t CO2e",K90&lt;&gt;"",L90&lt;&gt;""),"COMPLETE","HOLD: INPUT / EVIDENCE")))</x:f>
      </x:c>
    </x:row>
    <x:row r="91" ht="23" customHeight="1">
      <x:c r="A91" s="38"/>
      <x:c r="B91" s="36"/>
      <x:c r="C91" s="36"/>
      <x:c r="D91" s="36"/>
      <x:c r="E91" s="36"/>
      <x:c r="F91" s="36"/>
      <x:c r="G91" s="36"/>
      <x:c r="H91" s="36"/>
      <x:c r="I91" s="41" t="str">
        <x:f>IF(A91="","",IF(COUNT(G91:H91)=2,G91*H91,""))</x:f>
      </x:c>
      <x:c r="J91" s="36"/>
      <x:c r="K91" s="36"/>
      <x:c r="L91" s="36"/>
      <x:c r="M91" s="36"/>
      <x:c r="N91" s="41" t="str">
        <x:f>IF(A91="","",IF(M91="NO","EXCLUDED",IF(AND(COUNTIF($A$6:$A$305,A91)=1,M91="YES",OR(B91="EA",B91="EP"),C91&lt;&gt;"",OR(D91="BL",D91="PJ",D91="LK"),F91&lt;&gt;"",ISNUMBER(I91),J91="t CO2e",K91&lt;&gt;"",L91&lt;&gt;""),"COMPLETE","HOLD: INPUT / EVIDENCE")))</x:f>
      </x:c>
    </x:row>
    <x:row r="92" ht="23" customHeight="1">
      <x:c r="A92" s="38"/>
      <x:c r="B92" s="36"/>
      <x:c r="C92" s="36"/>
      <x:c r="D92" s="36"/>
      <x:c r="E92" s="36"/>
      <x:c r="F92" s="36"/>
      <x:c r="G92" s="36"/>
      <x:c r="H92" s="36"/>
      <x:c r="I92" s="41" t="str">
        <x:f>IF(A92="","",IF(COUNT(G92:H92)=2,G92*H92,""))</x:f>
      </x:c>
      <x:c r="J92" s="36"/>
      <x:c r="K92" s="36"/>
      <x:c r="L92" s="36"/>
      <x:c r="M92" s="36"/>
      <x:c r="N92" s="41" t="str">
        <x:f>IF(A92="","",IF(M92="NO","EXCLUDED",IF(AND(COUNTIF($A$6:$A$305,A92)=1,M92="YES",OR(B92="EA",B92="EP"),C92&lt;&gt;"",OR(D92="BL",D92="PJ",D92="LK"),F92&lt;&gt;"",ISNUMBER(I92),J92="t CO2e",K92&lt;&gt;"",L92&lt;&gt;""),"COMPLETE","HOLD: INPUT / EVIDENCE")))</x:f>
      </x:c>
    </x:row>
    <x:row r="93" ht="23" customHeight="1">
      <x:c r="A93" s="38"/>
      <x:c r="B93" s="36"/>
      <x:c r="C93" s="36"/>
      <x:c r="D93" s="36"/>
      <x:c r="E93" s="36"/>
      <x:c r="F93" s="36"/>
      <x:c r="G93" s="36"/>
      <x:c r="H93" s="36"/>
      <x:c r="I93" s="41" t="str">
        <x:f>IF(A93="","",IF(COUNT(G93:H93)=2,G93*H93,""))</x:f>
      </x:c>
      <x:c r="J93" s="36"/>
      <x:c r="K93" s="36"/>
      <x:c r="L93" s="36"/>
      <x:c r="M93" s="36"/>
      <x:c r="N93" s="41" t="str">
        <x:f>IF(A93="","",IF(M93="NO","EXCLUDED",IF(AND(COUNTIF($A$6:$A$305,A93)=1,M93="YES",OR(B93="EA",B93="EP"),C93&lt;&gt;"",OR(D93="BL",D93="PJ",D93="LK"),F93&lt;&gt;"",ISNUMBER(I93),J93="t CO2e",K93&lt;&gt;"",L93&lt;&gt;""),"COMPLETE","HOLD: INPUT / EVIDENCE")))</x:f>
      </x:c>
    </x:row>
    <x:row r="94" ht="23" customHeight="1">
      <x:c r="A94" s="38"/>
      <x:c r="B94" s="36"/>
      <x:c r="C94" s="36"/>
      <x:c r="D94" s="36"/>
      <x:c r="E94" s="36"/>
      <x:c r="F94" s="36"/>
      <x:c r="G94" s="36"/>
      <x:c r="H94" s="36"/>
      <x:c r="I94" s="41" t="str">
        <x:f>IF(A94="","",IF(COUNT(G94:H94)=2,G94*H94,""))</x:f>
      </x:c>
      <x:c r="J94" s="36"/>
      <x:c r="K94" s="36"/>
      <x:c r="L94" s="36"/>
      <x:c r="M94" s="36"/>
      <x:c r="N94" s="41" t="str">
        <x:f>IF(A94="","",IF(M94="NO","EXCLUDED",IF(AND(COUNTIF($A$6:$A$305,A94)=1,M94="YES",OR(B94="EA",B94="EP"),C94&lt;&gt;"",OR(D94="BL",D94="PJ",D94="LK"),F94&lt;&gt;"",ISNUMBER(I94),J94="t CO2e",K94&lt;&gt;"",L94&lt;&gt;""),"COMPLETE","HOLD: INPUT / EVIDENCE")))</x:f>
      </x:c>
    </x:row>
    <x:row r="95" ht="23" customHeight="1">
      <x:c r="A95" s="38"/>
      <x:c r="B95" s="36"/>
      <x:c r="C95" s="36"/>
      <x:c r="D95" s="36"/>
      <x:c r="E95" s="36"/>
      <x:c r="F95" s="36"/>
      <x:c r="G95" s="36"/>
      <x:c r="H95" s="36"/>
      <x:c r="I95" s="41" t="str">
        <x:f>IF(A95="","",IF(COUNT(G95:H95)=2,G95*H95,""))</x:f>
      </x:c>
      <x:c r="J95" s="36"/>
      <x:c r="K95" s="36"/>
      <x:c r="L95" s="36"/>
      <x:c r="M95" s="36"/>
      <x:c r="N95" s="41" t="str">
        <x:f>IF(A95="","",IF(M95="NO","EXCLUDED",IF(AND(COUNTIF($A$6:$A$305,A95)=1,M95="YES",OR(B95="EA",B95="EP"),C95&lt;&gt;"",OR(D95="BL",D95="PJ",D95="LK"),F95&lt;&gt;"",ISNUMBER(I95),J95="t CO2e",K95&lt;&gt;"",L95&lt;&gt;""),"COMPLETE","HOLD: INPUT / EVIDENCE")))</x:f>
      </x:c>
    </x:row>
    <x:row r="96" ht="23" customHeight="1">
      <x:c r="A96" s="38"/>
      <x:c r="B96" s="36"/>
      <x:c r="C96" s="36"/>
      <x:c r="D96" s="36"/>
      <x:c r="E96" s="36"/>
      <x:c r="F96" s="36"/>
      <x:c r="G96" s="36"/>
      <x:c r="H96" s="36"/>
      <x:c r="I96" s="41" t="str">
        <x:f>IF(A96="","",IF(COUNT(G96:H96)=2,G96*H96,""))</x:f>
      </x:c>
      <x:c r="J96" s="36"/>
      <x:c r="K96" s="36"/>
      <x:c r="L96" s="36"/>
      <x:c r="M96" s="36"/>
      <x:c r="N96" s="41" t="str">
        <x:f>IF(A96="","",IF(M96="NO","EXCLUDED",IF(AND(COUNTIF($A$6:$A$305,A96)=1,M96="YES",OR(B96="EA",B96="EP"),C96&lt;&gt;"",OR(D96="BL",D96="PJ",D96="LK"),F96&lt;&gt;"",ISNUMBER(I96),J96="t CO2e",K96&lt;&gt;"",L96&lt;&gt;""),"COMPLETE","HOLD: INPUT / EVIDENCE")))</x:f>
      </x:c>
    </x:row>
    <x:row r="97" ht="23" customHeight="1">
      <x:c r="A97" s="38"/>
      <x:c r="B97" s="36"/>
      <x:c r="C97" s="36"/>
      <x:c r="D97" s="36"/>
      <x:c r="E97" s="36"/>
      <x:c r="F97" s="36"/>
      <x:c r="G97" s="36"/>
      <x:c r="H97" s="36"/>
      <x:c r="I97" s="41" t="str">
        <x:f>IF(A97="","",IF(COUNT(G97:H97)=2,G97*H97,""))</x:f>
      </x:c>
      <x:c r="J97" s="36"/>
      <x:c r="K97" s="36"/>
      <x:c r="L97" s="36"/>
      <x:c r="M97" s="36"/>
      <x:c r="N97" s="41" t="str">
        <x:f>IF(A97="","",IF(M97="NO","EXCLUDED",IF(AND(COUNTIF($A$6:$A$305,A97)=1,M97="YES",OR(B97="EA",B97="EP"),C97&lt;&gt;"",OR(D97="BL",D97="PJ",D97="LK"),F97&lt;&gt;"",ISNUMBER(I97),J97="t CO2e",K97&lt;&gt;"",L97&lt;&gt;""),"COMPLETE","HOLD: INPUT / EVIDENCE")))</x:f>
      </x:c>
    </x:row>
    <x:row r="98" ht="23" customHeight="1">
      <x:c r="A98" s="38"/>
      <x:c r="B98" s="36"/>
      <x:c r="C98" s="36"/>
      <x:c r="D98" s="36"/>
      <x:c r="E98" s="36"/>
      <x:c r="F98" s="36"/>
      <x:c r="G98" s="36"/>
      <x:c r="H98" s="36"/>
      <x:c r="I98" s="41" t="str">
        <x:f>IF(A98="","",IF(COUNT(G98:H98)=2,G98*H98,""))</x:f>
      </x:c>
      <x:c r="J98" s="36"/>
      <x:c r="K98" s="36"/>
      <x:c r="L98" s="36"/>
      <x:c r="M98" s="36"/>
      <x:c r="N98" s="41" t="str">
        <x:f>IF(A98="","",IF(M98="NO","EXCLUDED",IF(AND(COUNTIF($A$6:$A$305,A98)=1,M98="YES",OR(B98="EA",B98="EP"),C98&lt;&gt;"",OR(D98="BL",D98="PJ",D98="LK"),F98&lt;&gt;"",ISNUMBER(I98),J98="t CO2e",K98&lt;&gt;"",L98&lt;&gt;""),"COMPLETE","HOLD: INPUT / EVIDENCE")))</x:f>
      </x:c>
    </x:row>
    <x:row r="99" ht="23" customHeight="1">
      <x:c r="A99" s="38"/>
      <x:c r="B99" s="36"/>
      <x:c r="C99" s="36"/>
      <x:c r="D99" s="36"/>
      <x:c r="E99" s="36"/>
      <x:c r="F99" s="36"/>
      <x:c r="G99" s="36"/>
      <x:c r="H99" s="36"/>
      <x:c r="I99" s="41" t="str">
        <x:f>IF(A99="","",IF(COUNT(G99:H99)=2,G99*H99,""))</x:f>
      </x:c>
      <x:c r="J99" s="36"/>
      <x:c r="K99" s="36"/>
      <x:c r="L99" s="36"/>
      <x:c r="M99" s="36"/>
      <x:c r="N99" s="41" t="str">
        <x:f>IF(A99="","",IF(M99="NO","EXCLUDED",IF(AND(COUNTIF($A$6:$A$305,A99)=1,M99="YES",OR(B99="EA",B99="EP"),C99&lt;&gt;"",OR(D99="BL",D99="PJ",D99="LK"),F99&lt;&gt;"",ISNUMBER(I99),J99="t CO2e",K99&lt;&gt;"",L99&lt;&gt;""),"COMPLETE","HOLD: INPUT / EVIDENCE")))</x:f>
      </x:c>
    </x:row>
    <x:row r="100" ht="23" customHeight="1">
      <x:c r="A100" s="38"/>
      <x:c r="B100" s="36"/>
      <x:c r="C100" s="36"/>
      <x:c r="D100" s="36"/>
      <x:c r="E100" s="36"/>
      <x:c r="F100" s="36"/>
      <x:c r="G100" s="36"/>
      <x:c r="H100" s="36"/>
      <x:c r="I100" s="41" t="str">
        <x:f>IF(A100="","",IF(COUNT(G100:H100)=2,G100*H100,""))</x:f>
      </x:c>
      <x:c r="J100" s="36"/>
      <x:c r="K100" s="36"/>
      <x:c r="L100" s="36"/>
      <x:c r="M100" s="36"/>
      <x:c r="N100" s="41" t="str">
        <x:f>IF(A100="","",IF(M100="NO","EXCLUDED",IF(AND(COUNTIF($A$6:$A$305,A100)=1,M100="YES",OR(B100="EA",B100="EP"),C100&lt;&gt;"",OR(D100="BL",D100="PJ",D100="LK"),F100&lt;&gt;"",ISNUMBER(I100),J100="t CO2e",K100&lt;&gt;"",L100&lt;&gt;""),"COMPLETE","HOLD: INPUT / EVIDENCE")))</x:f>
      </x:c>
    </x:row>
    <x:row r="101" ht="23" customHeight="1">
      <x:c r="A101" s="38"/>
      <x:c r="B101" s="36"/>
      <x:c r="C101" s="36"/>
      <x:c r="D101" s="36"/>
      <x:c r="E101" s="36"/>
      <x:c r="F101" s="36"/>
      <x:c r="G101" s="36"/>
      <x:c r="H101" s="36"/>
      <x:c r="I101" s="41" t="str">
        <x:f>IF(A101="","",IF(COUNT(G101:H101)=2,G101*H101,""))</x:f>
      </x:c>
      <x:c r="J101" s="36"/>
      <x:c r="K101" s="36"/>
      <x:c r="L101" s="36"/>
      <x:c r="M101" s="36"/>
      <x:c r="N101" s="41" t="str">
        <x:f>IF(A101="","",IF(M101="NO","EXCLUDED",IF(AND(COUNTIF($A$6:$A$305,A101)=1,M101="YES",OR(B101="EA",B101="EP"),C101&lt;&gt;"",OR(D101="BL",D101="PJ",D101="LK"),F101&lt;&gt;"",ISNUMBER(I101),J101="t CO2e",K101&lt;&gt;"",L101&lt;&gt;""),"COMPLETE","HOLD: INPUT / EVIDENCE")))</x:f>
      </x:c>
    </x:row>
    <x:row r="102" ht="23" customHeight="1">
      <x:c r="A102" s="38"/>
      <x:c r="B102" s="36"/>
      <x:c r="C102" s="36"/>
      <x:c r="D102" s="36"/>
      <x:c r="E102" s="36"/>
      <x:c r="F102" s="36"/>
      <x:c r="G102" s="36"/>
      <x:c r="H102" s="36"/>
      <x:c r="I102" s="41" t="str">
        <x:f>IF(A102="","",IF(COUNT(G102:H102)=2,G102*H102,""))</x:f>
      </x:c>
      <x:c r="J102" s="36"/>
      <x:c r="K102" s="36"/>
      <x:c r="L102" s="36"/>
      <x:c r="M102" s="36"/>
      <x:c r="N102" s="41" t="str">
        <x:f>IF(A102="","",IF(M102="NO","EXCLUDED",IF(AND(COUNTIF($A$6:$A$305,A102)=1,M102="YES",OR(B102="EA",B102="EP"),C102&lt;&gt;"",OR(D102="BL",D102="PJ",D102="LK"),F102&lt;&gt;"",ISNUMBER(I102),J102="t CO2e",K102&lt;&gt;"",L102&lt;&gt;""),"COMPLETE","HOLD: INPUT / EVIDENCE")))</x:f>
      </x:c>
    </x:row>
    <x:row r="103" ht="23" customHeight="1">
      <x:c r="A103" s="38"/>
      <x:c r="B103" s="36"/>
      <x:c r="C103" s="36"/>
      <x:c r="D103" s="36"/>
      <x:c r="E103" s="36"/>
      <x:c r="F103" s="36"/>
      <x:c r="G103" s="36"/>
      <x:c r="H103" s="36"/>
      <x:c r="I103" s="41" t="str">
        <x:f>IF(A103="","",IF(COUNT(G103:H103)=2,G103*H103,""))</x:f>
      </x:c>
      <x:c r="J103" s="36"/>
      <x:c r="K103" s="36"/>
      <x:c r="L103" s="36"/>
      <x:c r="M103" s="36"/>
      <x:c r="N103" s="41" t="str">
        <x:f>IF(A103="","",IF(M103="NO","EXCLUDED",IF(AND(COUNTIF($A$6:$A$305,A103)=1,M103="YES",OR(B103="EA",B103="EP"),C103&lt;&gt;"",OR(D103="BL",D103="PJ",D103="LK"),F103&lt;&gt;"",ISNUMBER(I103),J103="t CO2e",K103&lt;&gt;"",L103&lt;&gt;""),"COMPLETE","HOLD: INPUT / EVIDENCE")))</x:f>
      </x:c>
    </x:row>
    <x:row r="104" ht="23" customHeight="1">
      <x:c r="A104" s="38"/>
      <x:c r="B104" s="36"/>
      <x:c r="C104" s="36"/>
      <x:c r="D104" s="36"/>
      <x:c r="E104" s="36"/>
      <x:c r="F104" s="36"/>
      <x:c r="G104" s="36"/>
      <x:c r="H104" s="36"/>
      <x:c r="I104" s="41" t="str">
        <x:f>IF(A104="","",IF(COUNT(G104:H104)=2,G104*H104,""))</x:f>
      </x:c>
      <x:c r="J104" s="36"/>
      <x:c r="K104" s="36"/>
      <x:c r="L104" s="36"/>
      <x:c r="M104" s="36"/>
      <x:c r="N104" s="41" t="str">
        <x:f>IF(A104="","",IF(M104="NO","EXCLUDED",IF(AND(COUNTIF($A$6:$A$305,A104)=1,M104="YES",OR(B104="EA",B104="EP"),C104&lt;&gt;"",OR(D104="BL",D104="PJ",D104="LK"),F104&lt;&gt;"",ISNUMBER(I104),J104="t CO2e",K104&lt;&gt;"",L104&lt;&gt;""),"COMPLETE","HOLD: INPUT / EVIDENCE")))</x:f>
      </x:c>
    </x:row>
    <x:row r="105" ht="23" customHeight="1">
      <x:c r="A105" s="38"/>
      <x:c r="B105" s="36"/>
      <x:c r="C105" s="36"/>
      <x:c r="D105" s="36"/>
      <x:c r="E105" s="36"/>
      <x:c r="F105" s="36"/>
      <x:c r="G105" s="36"/>
      <x:c r="H105" s="36"/>
      <x:c r="I105" s="41" t="str">
        <x:f>IF(A105="","",IF(COUNT(G105:H105)=2,G105*H105,""))</x:f>
      </x:c>
      <x:c r="J105" s="36"/>
      <x:c r="K105" s="36"/>
      <x:c r="L105" s="36"/>
      <x:c r="M105" s="36"/>
      <x:c r="N105" s="41" t="str">
        <x:f>IF(A105="","",IF(M105="NO","EXCLUDED",IF(AND(COUNTIF($A$6:$A$305,A105)=1,M105="YES",OR(B105="EA",B105="EP"),C105&lt;&gt;"",OR(D105="BL",D105="PJ",D105="LK"),F105&lt;&gt;"",ISNUMBER(I105),J105="t CO2e",K105&lt;&gt;"",L105&lt;&gt;""),"COMPLETE","HOLD: INPUT / EVIDENCE")))</x:f>
      </x:c>
    </x:row>
    <x:row r="106" ht="23" customHeight="1">
      <x:c r="A106" s="38"/>
      <x:c r="B106" s="36"/>
      <x:c r="C106" s="36"/>
      <x:c r="D106" s="36"/>
      <x:c r="E106" s="36"/>
      <x:c r="F106" s="36"/>
      <x:c r="G106" s="36"/>
      <x:c r="H106" s="36"/>
      <x:c r="I106" s="41" t="str">
        <x:f>IF(A106="","",IF(COUNT(G106:H106)=2,G106*H106,""))</x:f>
      </x:c>
      <x:c r="J106" s="36"/>
      <x:c r="K106" s="36"/>
      <x:c r="L106" s="36"/>
      <x:c r="M106" s="36"/>
      <x:c r="N106" s="41" t="str">
        <x:f>IF(A106="","",IF(M106="NO","EXCLUDED",IF(AND(COUNTIF($A$6:$A$305,A106)=1,M106="YES",OR(B106="EA",B106="EP"),C106&lt;&gt;"",OR(D106="BL",D106="PJ",D106="LK"),F106&lt;&gt;"",ISNUMBER(I106),J106="t CO2e",K106&lt;&gt;"",L106&lt;&gt;""),"COMPLETE","HOLD: INPUT / EVIDENCE")))</x:f>
      </x:c>
    </x:row>
    <x:row r="107" ht="23" customHeight="1">
      <x:c r="A107" s="38"/>
      <x:c r="B107" s="36"/>
      <x:c r="C107" s="36"/>
      <x:c r="D107" s="36"/>
      <x:c r="E107" s="36"/>
      <x:c r="F107" s="36"/>
      <x:c r="G107" s="36"/>
      <x:c r="H107" s="36"/>
      <x:c r="I107" s="41" t="str">
        <x:f>IF(A107="","",IF(COUNT(G107:H107)=2,G107*H107,""))</x:f>
      </x:c>
      <x:c r="J107" s="36"/>
      <x:c r="K107" s="36"/>
      <x:c r="L107" s="36"/>
      <x:c r="M107" s="36"/>
      <x:c r="N107" s="41" t="str">
        <x:f>IF(A107="","",IF(M107="NO","EXCLUDED",IF(AND(COUNTIF($A$6:$A$305,A107)=1,M107="YES",OR(B107="EA",B107="EP"),C107&lt;&gt;"",OR(D107="BL",D107="PJ",D107="LK"),F107&lt;&gt;"",ISNUMBER(I107),J107="t CO2e",K107&lt;&gt;"",L107&lt;&gt;""),"COMPLETE","HOLD: INPUT / EVIDENCE")))</x:f>
      </x:c>
    </x:row>
    <x:row r="108" ht="23" customHeight="1">
      <x:c r="A108" s="38"/>
      <x:c r="B108" s="36"/>
      <x:c r="C108" s="36"/>
      <x:c r="D108" s="36"/>
      <x:c r="E108" s="36"/>
      <x:c r="F108" s="36"/>
      <x:c r="G108" s="36"/>
      <x:c r="H108" s="36"/>
      <x:c r="I108" s="41" t="str">
        <x:f>IF(A108="","",IF(COUNT(G108:H108)=2,G108*H108,""))</x:f>
      </x:c>
      <x:c r="J108" s="36"/>
      <x:c r="K108" s="36"/>
      <x:c r="L108" s="36"/>
      <x:c r="M108" s="36"/>
      <x:c r="N108" s="41" t="str">
        <x:f>IF(A108="","",IF(M108="NO","EXCLUDED",IF(AND(COUNTIF($A$6:$A$305,A108)=1,M108="YES",OR(B108="EA",B108="EP"),C108&lt;&gt;"",OR(D108="BL",D108="PJ",D108="LK"),F108&lt;&gt;"",ISNUMBER(I108),J108="t CO2e",K108&lt;&gt;"",L108&lt;&gt;""),"COMPLETE","HOLD: INPUT / EVIDENCE")))</x:f>
      </x:c>
    </x:row>
    <x:row r="109" ht="23" customHeight="1">
      <x:c r="A109" s="38"/>
      <x:c r="B109" s="36"/>
      <x:c r="C109" s="36"/>
      <x:c r="D109" s="36"/>
      <x:c r="E109" s="36"/>
      <x:c r="F109" s="36"/>
      <x:c r="G109" s="36"/>
      <x:c r="H109" s="36"/>
      <x:c r="I109" s="41" t="str">
        <x:f>IF(A109="","",IF(COUNT(G109:H109)=2,G109*H109,""))</x:f>
      </x:c>
      <x:c r="J109" s="36"/>
      <x:c r="K109" s="36"/>
      <x:c r="L109" s="36"/>
      <x:c r="M109" s="36"/>
      <x:c r="N109" s="41" t="str">
        <x:f>IF(A109="","",IF(M109="NO","EXCLUDED",IF(AND(COUNTIF($A$6:$A$305,A109)=1,M109="YES",OR(B109="EA",B109="EP"),C109&lt;&gt;"",OR(D109="BL",D109="PJ",D109="LK"),F109&lt;&gt;"",ISNUMBER(I109),J109="t CO2e",K109&lt;&gt;"",L109&lt;&gt;""),"COMPLETE","HOLD: INPUT / EVIDENCE")))</x:f>
      </x:c>
    </x:row>
    <x:row r="110" ht="23" customHeight="1">
      <x:c r="A110" s="38"/>
      <x:c r="B110" s="36"/>
      <x:c r="C110" s="36"/>
      <x:c r="D110" s="36"/>
      <x:c r="E110" s="36"/>
      <x:c r="F110" s="36"/>
      <x:c r="G110" s="36"/>
      <x:c r="H110" s="36"/>
      <x:c r="I110" s="41" t="str">
        <x:f>IF(A110="","",IF(COUNT(G110:H110)=2,G110*H110,""))</x:f>
      </x:c>
      <x:c r="J110" s="36"/>
      <x:c r="K110" s="36"/>
      <x:c r="L110" s="36"/>
      <x:c r="M110" s="36"/>
      <x:c r="N110" s="41" t="str">
        <x:f>IF(A110="","",IF(M110="NO","EXCLUDED",IF(AND(COUNTIF($A$6:$A$305,A110)=1,M110="YES",OR(B110="EA",B110="EP"),C110&lt;&gt;"",OR(D110="BL",D110="PJ",D110="LK"),F110&lt;&gt;"",ISNUMBER(I110),J110="t CO2e",K110&lt;&gt;"",L110&lt;&gt;""),"COMPLETE","HOLD: INPUT / EVIDENCE")))</x:f>
      </x:c>
    </x:row>
    <x:row r="111" ht="23" customHeight="1">
      <x:c r="A111" s="38"/>
      <x:c r="B111" s="36"/>
      <x:c r="C111" s="36"/>
      <x:c r="D111" s="36"/>
      <x:c r="E111" s="36"/>
      <x:c r="F111" s="36"/>
      <x:c r="G111" s="36"/>
      <x:c r="H111" s="36"/>
      <x:c r="I111" s="41" t="str">
        <x:f>IF(A111="","",IF(COUNT(G111:H111)=2,G111*H111,""))</x:f>
      </x:c>
      <x:c r="J111" s="36"/>
      <x:c r="K111" s="36"/>
      <x:c r="L111" s="36"/>
      <x:c r="M111" s="36"/>
      <x:c r="N111" s="41" t="str">
        <x:f>IF(A111="","",IF(M111="NO","EXCLUDED",IF(AND(COUNTIF($A$6:$A$305,A111)=1,M111="YES",OR(B111="EA",B111="EP"),C111&lt;&gt;"",OR(D111="BL",D111="PJ",D111="LK"),F111&lt;&gt;"",ISNUMBER(I111),J111="t CO2e",K111&lt;&gt;"",L111&lt;&gt;""),"COMPLETE","HOLD: INPUT / EVIDENCE")))</x:f>
      </x:c>
    </x:row>
    <x:row r="112" ht="23" customHeight="1">
      <x:c r="A112" s="38"/>
      <x:c r="B112" s="36"/>
      <x:c r="C112" s="36"/>
      <x:c r="D112" s="36"/>
      <x:c r="E112" s="36"/>
      <x:c r="F112" s="36"/>
      <x:c r="G112" s="36"/>
      <x:c r="H112" s="36"/>
      <x:c r="I112" s="41" t="str">
        <x:f>IF(A112="","",IF(COUNT(G112:H112)=2,G112*H112,""))</x:f>
      </x:c>
      <x:c r="J112" s="36"/>
      <x:c r="K112" s="36"/>
      <x:c r="L112" s="36"/>
      <x:c r="M112" s="36"/>
      <x:c r="N112" s="41" t="str">
        <x:f>IF(A112="","",IF(M112="NO","EXCLUDED",IF(AND(COUNTIF($A$6:$A$305,A112)=1,M112="YES",OR(B112="EA",B112="EP"),C112&lt;&gt;"",OR(D112="BL",D112="PJ",D112="LK"),F112&lt;&gt;"",ISNUMBER(I112),J112="t CO2e",K112&lt;&gt;"",L112&lt;&gt;""),"COMPLETE","HOLD: INPUT / EVIDENCE")))</x:f>
      </x:c>
    </x:row>
    <x:row r="113" ht="23" customHeight="1">
      <x:c r="A113" s="38"/>
      <x:c r="B113" s="36"/>
      <x:c r="C113" s="36"/>
      <x:c r="D113" s="36"/>
      <x:c r="E113" s="36"/>
      <x:c r="F113" s="36"/>
      <x:c r="G113" s="36"/>
      <x:c r="H113" s="36"/>
      <x:c r="I113" s="41" t="str">
        <x:f>IF(A113="","",IF(COUNT(G113:H113)=2,G113*H113,""))</x:f>
      </x:c>
      <x:c r="J113" s="36"/>
      <x:c r="K113" s="36"/>
      <x:c r="L113" s="36"/>
      <x:c r="M113" s="36"/>
      <x:c r="N113" s="41" t="str">
        <x:f>IF(A113="","",IF(M113="NO","EXCLUDED",IF(AND(COUNTIF($A$6:$A$305,A113)=1,M113="YES",OR(B113="EA",B113="EP"),C113&lt;&gt;"",OR(D113="BL",D113="PJ",D113="LK"),F113&lt;&gt;"",ISNUMBER(I113),J113="t CO2e",K113&lt;&gt;"",L113&lt;&gt;""),"COMPLETE","HOLD: INPUT / EVIDENCE")))</x:f>
      </x:c>
    </x:row>
    <x:row r="114" ht="23" customHeight="1">
      <x:c r="A114" s="38"/>
      <x:c r="B114" s="36"/>
      <x:c r="C114" s="36"/>
      <x:c r="D114" s="36"/>
      <x:c r="E114" s="36"/>
      <x:c r="F114" s="36"/>
      <x:c r="G114" s="36"/>
      <x:c r="H114" s="36"/>
      <x:c r="I114" s="41" t="str">
        <x:f>IF(A114="","",IF(COUNT(G114:H114)=2,G114*H114,""))</x:f>
      </x:c>
      <x:c r="J114" s="36"/>
      <x:c r="K114" s="36"/>
      <x:c r="L114" s="36"/>
      <x:c r="M114" s="36"/>
      <x:c r="N114" s="41" t="str">
        <x:f>IF(A114="","",IF(M114="NO","EXCLUDED",IF(AND(COUNTIF($A$6:$A$305,A114)=1,M114="YES",OR(B114="EA",B114="EP"),C114&lt;&gt;"",OR(D114="BL",D114="PJ",D114="LK"),F114&lt;&gt;"",ISNUMBER(I114),J114="t CO2e",K114&lt;&gt;"",L114&lt;&gt;""),"COMPLETE","HOLD: INPUT / EVIDENCE")))</x:f>
      </x:c>
    </x:row>
    <x:row r="115" ht="23" customHeight="1">
      <x:c r="A115" s="38"/>
      <x:c r="B115" s="36"/>
      <x:c r="C115" s="36"/>
      <x:c r="D115" s="36"/>
      <x:c r="E115" s="36"/>
      <x:c r="F115" s="36"/>
      <x:c r="G115" s="36"/>
      <x:c r="H115" s="36"/>
      <x:c r="I115" s="41" t="str">
        <x:f>IF(A115="","",IF(COUNT(G115:H115)=2,G115*H115,""))</x:f>
      </x:c>
      <x:c r="J115" s="36"/>
      <x:c r="K115" s="36"/>
      <x:c r="L115" s="36"/>
      <x:c r="M115" s="36"/>
      <x:c r="N115" s="41" t="str">
        <x:f>IF(A115="","",IF(M115="NO","EXCLUDED",IF(AND(COUNTIF($A$6:$A$305,A115)=1,M115="YES",OR(B115="EA",B115="EP"),C115&lt;&gt;"",OR(D115="BL",D115="PJ",D115="LK"),F115&lt;&gt;"",ISNUMBER(I115),J115="t CO2e",K115&lt;&gt;"",L115&lt;&gt;""),"COMPLETE","HOLD: INPUT / EVIDENCE")))</x:f>
      </x:c>
    </x:row>
    <x:row r="116" ht="23" customHeight="1">
      <x:c r="A116" s="38"/>
      <x:c r="B116" s="36"/>
      <x:c r="C116" s="36"/>
      <x:c r="D116" s="36"/>
      <x:c r="E116" s="36"/>
      <x:c r="F116" s="36"/>
      <x:c r="G116" s="36"/>
      <x:c r="H116" s="36"/>
      <x:c r="I116" s="41" t="str">
        <x:f>IF(A116="","",IF(COUNT(G116:H116)=2,G116*H116,""))</x:f>
      </x:c>
      <x:c r="J116" s="36"/>
      <x:c r="K116" s="36"/>
      <x:c r="L116" s="36"/>
      <x:c r="M116" s="36"/>
      <x:c r="N116" s="41" t="str">
        <x:f>IF(A116="","",IF(M116="NO","EXCLUDED",IF(AND(COUNTIF($A$6:$A$305,A116)=1,M116="YES",OR(B116="EA",B116="EP"),C116&lt;&gt;"",OR(D116="BL",D116="PJ",D116="LK"),F116&lt;&gt;"",ISNUMBER(I116),J116="t CO2e",K116&lt;&gt;"",L116&lt;&gt;""),"COMPLETE","HOLD: INPUT / EVIDENCE")))</x:f>
      </x:c>
    </x:row>
    <x:row r="117" ht="23" customHeight="1">
      <x:c r="A117" s="38"/>
      <x:c r="B117" s="36"/>
      <x:c r="C117" s="36"/>
      <x:c r="D117" s="36"/>
      <x:c r="E117" s="36"/>
      <x:c r="F117" s="36"/>
      <x:c r="G117" s="36"/>
      <x:c r="H117" s="36"/>
      <x:c r="I117" s="41" t="str">
        <x:f>IF(A117="","",IF(COUNT(G117:H117)=2,G117*H117,""))</x:f>
      </x:c>
      <x:c r="J117" s="36"/>
      <x:c r="K117" s="36"/>
      <x:c r="L117" s="36"/>
      <x:c r="M117" s="36"/>
      <x:c r="N117" s="41" t="str">
        <x:f>IF(A117="","",IF(M117="NO","EXCLUDED",IF(AND(COUNTIF($A$6:$A$305,A117)=1,M117="YES",OR(B117="EA",B117="EP"),C117&lt;&gt;"",OR(D117="BL",D117="PJ",D117="LK"),F117&lt;&gt;"",ISNUMBER(I117),J117="t CO2e",K117&lt;&gt;"",L117&lt;&gt;""),"COMPLETE","HOLD: INPUT / EVIDENCE")))</x:f>
      </x:c>
    </x:row>
    <x:row r="118" ht="23" customHeight="1">
      <x:c r="A118" s="38"/>
      <x:c r="B118" s="36"/>
      <x:c r="C118" s="36"/>
      <x:c r="D118" s="36"/>
      <x:c r="E118" s="36"/>
      <x:c r="F118" s="36"/>
      <x:c r="G118" s="36"/>
      <x:c r="H118" s="36"/>
      <x:c r="I118" s="41" t="str">
        <x:f>IF(A118="","",IF(COUNT(G118:H118)=2,G118*H118,""))</x:f>
      </x:c>
      <x:c r="J118" s="36"/>
      <x:c r="K118" s="36"/>
      <x:c r="L118" s="36"/>
      <x:c r="M118" s="36"/>
      <x:c r="N118" s="41" t="str">
        <x:f>IF(A118="","",IF(M118="NO","EXCLUDED",IF(AND(COUNTIF($A$6:$A$305,A118)=1,M118="YES",OR(B118="EA",B118="EP"),C118&lt;&gt;"",OR(D118="BL",D118="PJ",D118="LK"),F118&lt;&gt;"",ISNUMBER(I118),J118="t CO2e",K118&lt;&gt;"",L118&lt;&gt;""),"COMPLETE","HOLD: INPUT / EVIDENCE")))</x:f>
      </x:c>
    </x:row>
    <x:row r="119" ht="23" customHeight="1">
      <x:c r="A119" s="38"/>
      <x:c r="B119" s="36"/>
      <x:c r="C119" s="36"/>
      <x:c r="D119" s="36"/>
      <x:c r="E119" s="36"/>
      <x:c r="F119" s="36"/>
      <x:c r="G119" s="36"/>
      <x:c r="H119" s="36"/>
      <x:c r="I119" s="41" t="str">
        <x:f>IF(A119="","",IF(COUNT(G119:H119)=2,G119*H119,""))</x:f>
      </x:c>
      <x:c r="J119" s="36"/>
      <x:c r="K119" s="36"/>
      <x:c r="L119" s="36"/>
      <x:c r="M119" s="36"/>
      <x:c r="N119" s="41" t="str">
        <x:f>IF(A119="","",IF(M119="NO","EXCLUDED",IF(AND(COUNTIF($A$6:$A$305,A119)=1,M119="YES",OR(B119="EA",B119="EP"),C119&lt;&gt;"",OR(D119="BL",D119="PJ",D119="LK"),F119&lt;&gt;"",ISNUMBER(I119),J119="t CO2e",K119&lt;&gt;"",L119&lt;&gt;""),"COMPLETE","HOLD: INPUT / EVIDENCE")))</x:f>
      </x:c>
    </x:row>
    <x:row r="120" ht="23" customHeight="1">
      <x:c r="A120" s="38"/>
      <x:c r="B120" s="36"/>
      <x:c r="C120" s="36"/>
      <x:c r="D120" s="36"/>
      <x:c r="E120" s="36"/>
      <x:c r="F120" s="36"/>
      <x:c r="G120" s="36"/>
      <x:c r="H120" s="36"/>
      <x:c r="I120" s="41" t="str">
        <x:f>IF(A120="","",IF(COUNT(G120:H120)=2,G120*H120,""))</x:f>
      </x:c>
      <x:c r="J120" s="36"/>
      <x:c r="K120" s="36"/>
      <x:c r="L120" s="36"/>
      <x:c r="M120" s="36"/>
      <x:c r="N120" s="41" t="str">
        <x:f>IF(A120="","",IF(M120="NO","EXCLUDED",IF(AND(COUNTIF($A$6:$A$305,A120)=1,M120="YES",OR(B120="EA",B120="EP"),C120&lt;&gt;"",OR(D120="BL",D120="PJ",D120="LK"),F120&lt;&gt;"",ISNUMBER(I120),J120="t CO2e",K120&lt;&gt;"",L120&lt;&gt;""),"COMPLETE","HOLD: INPUT / EVIDENCE")))</x:f>
      </x:c>
    </x:row>
    <x:row r="121" ht="23" customHeight="1">
      <x:c r="A121" s="38"/>
      <x:c r="B121" s="36"/>
      <x:c r="C121" s="36"/>
      <x:c r="D121" s="36"/>
      <x:c r="E121" s="36"/>
      <x:c r="F121" s="36"/>
      <x:c r="G121" s="36"/>
      <x:c r="H121" s="36"/>
      <x:c r="I121" s="41" t="str">
        <x:f>IF(A121="","",IF(COUNT(G121:H121)=2,G121*H121,""))</x:f>
      </x:c>
      <x:c r="J121" s="36"/>
      <x:c r="K121" s="36"/>
      <x:c r="L121" s="36"/>
      <x:c r="M121" s="36"/>
      <x:c r="N121" s="41" t="str">
        <x:f>IF(A121="","",IF(M121="NO","EXCLUDED",IF(AND(COUNTIF($A$6:$A$305,A121)=1,M121="YES",OR(B121="EA",B121="EP"),C121&lt;&gt;"",OR(D121="BL",D121="PJ",D121="LK"),F121&lt;&gt;"",ISNUMBER(I121),J121="t CO2e",K121&lt;&gt;"",L121&lt;&gt;""),"COMPLETE","HOLD: INPUT / EVIDENCE")))</x:f>
      </x:c>
    </x:row>
    <x:row r="122" ht="23" customHeight="1">
      <x:c r="A122" s="38"/>
      <x:c r="B122" s="36"/>
      <x:c r="C122" s="36"/>
      <x:c r="D122" s="36"/>
      <x:c r="E122" s="36"/>
      <x:c r="F122" s="36"/>
      <x:c r="G122" s="36"/>
      <x:c r="H122" s="36"/>
      <x:c r="I122" s="41" t="str">
        <x:f>IF(A122="","",IF(COUNT(G122:H122)=2,G122*H122,""))</x:f>
      </x:c>
      <x:c r="J122" s="36"/>
      <x:c r="K122" s="36"/>
      <x:c r="L122" s="36"/>
      <x:c r="M122" s="36"/>
      <x:c r="N122" s="41" t="str">
        <x:f>IF(A122="","",IF(M122="NO","EXCLUDED",IF(AND(COUNTIF($A$6:$A$305,A122)=1,M122="YES",OR(B122="EA",B122="EP"),C122&lt;&gt;"",OR(D122="BL",D122="PJ",D122="LK"),F122&lt;&gt;"",ISNUMBER(I122),J122="t CO2e",K122&lt;&gt;"",L122&lt;&gt;""),"COMPLETE","HOLD: INPUT / EVIDENCE")))</x:f>
      </x:c>
    </x:row>
    <x:row r="123" ht="23" customHeight="1">
      <x:c r="A123" s="38"/>
      <x:c r="B123" s="36"/>
      <x:c r="C123" s="36"/>
      <x:c r="D123" s="36"/>
      <x:c r="E123" s="36"/>
      <x:c r="F123" s="36"/>
      <x:c r="G123" s="36"/>
      <x:c r="H123" s="36"/>
      <x:c r="I123" s="41" t="str">
        <x:f>IF(A123="","",IF(COUNT(G123:H123)=2,G123*H123,""))</x:f>
      </x:c>
      <x:c r="J123" s="36"/>
      <x:c r="K123" s="36"/>
      <x:c r="L123" s="36"/>
      <x:c r="M123" s="36"/>
      <x:c r="N123" s="41" t="str">
        <x:f>IF(A123="","",IF(M123="NO","EXCLUDED",IF(AND(COUNTIF($A$6:$A$305,A123)=1,M123="YES",OR(B123="EA",B123="EP"),C123&lt;&gt;"",OR(D123="BL",D123="PJ",D123="LK"),F123&lt;&gt;"",ISNUMBER(I123),J123="t CO2e",K123&lt;&gt;"",L123&lt;&gt;""),"COMPLETE","HOLD: INPUT / EVIDENCE")))</x:f>
      </x:c>
    </x:row>
    <x:row r="124" ht="23" customHeight="1">
      <x:c r="A124" s="38"/>
      <x:c r="B124" s="36"/>
      <x:c r="C124" s="36"/>
      <x:c r="D124" s="36"/>
      <x:c r="E124" s="36"/>
      <x:c r="F124" s="36"/>
      <x:c r="G124" s="36"/>
      <x:c r="H124" s="36"/>
      <x:c r="I124" s="41" t="str">
        <x:f>IF(A124="","",IF(COUNT(G124:H124)=2,G124*H124,""))</x:f>
      </x:c>
      <x:c r="J124" s="36"/>
      <x:c r="K124" s="36"/>
      <x:c r="L124" s="36"/>
      <x:c r="M124" s="36"/>
      <x:c r="N124" s="41" t="str">
        <x:f>IF(A124="","",IF(M124="NO","EXCLUDED",IF(AND(COUNTIF($A$6:$A$305,A124)=1,M124="YES",OR(B124="EA",B124="EP"),C124&lt;&gt;"",OR(D124="BL",D124="PJ",D124="LK"),F124&lt;&gt;"",ISNUMBER(I124),J124="t CO2e",K124&lt;&gt;"",L124&lt;&gt;""),"COMPLETE","HOLD: INPUT / EVIDENCE")))</x:f>
      </x:c>
    </x:row>
    <x:row r="125" ht="23" customHeight="1">
      <x:c r="A125" s="38"/>
      <x:c r="B125" s="36"/>
      <x:c r="C125" s="36"/>
      <x:c r="D125" s="36"/>
      <x:c r="E125" s="36"/>
      <x:c r="F125" s="36"/>
      <x:c r="G125" s="36"/>
      <x:c r="H125" s="36"/>
      <x:c r="I125" s="41" t="str">
        <x:f>IF(A125="","",IF(COUNT(G125:H125)=2,G125*H125,""))</x:f>
      </x:c>
      <x:c r="J125" s="36"/>
      <x:c r="K125" s="36"/>
      <x:c r="L125" s="36"/>
      <x:c r="M125" s="36"/>
      <x:c r="N125" s="41" t="str">
        <x:f>IF(A125="","",IF(M125="NO","EXCLUDED",IF(AND(COUNTIF($A$6:$A$305,A125)=1,M125="YES",OR(B125="EA",B125="EP"),C125&lt;&gt;"",OR(D125="BL",D125="PJ",D125="LK"),F125&lt;&gt;"",ISNUMBER(I125),J125="t CO2e",K125&lt;&gt;"",L125&lt;&gt;""),"COMPLETE","HOLD: INPUT / EVIDENCE")))</x:f>
      </x:c>
    </x:row>
    <x:row r="126" ht="23" customHeight="1">
      <x:c r="A126" s="38"/>
      <x:c r="B126" s="36"/>
      <x:c r="C126" s="36"/>
      <x:c r="D126" s="36"/>
      <x:c r="E126" s="36"/>
      <x:c r="F126" s="36"/>
      <x:c r="G126" s="36"/>
      <x:c r="H126" s="36"/>
      <x:c r="I126" s="41" t="str">
        <x:f>IF(A126="","",IF(COUNT(G126:H126)=2,G126*H126,""))</x:f>
      </x:c>
      <x:c r="J126" s="36"/>
      <x:c r="K126" s="36"/>
      <x:c r="L126" s="36"/>
      <x:c r="M126" s="36"/>
      <x:c r="N126" s="41" t="str">
        <x:f>IF(A126="","",IF(M126="NO","EXCLUDED",IF(AND(COUNTIF($A$6:$A$305,A126)=1,M126="YES",OR(B126="EA",B126="EP"),C126&lt;&gt;"",OR(D126="BL",D126="PJ",D126="LK"),F126&lt;&gt;"",ISNUMBER(I126),J126="t CO2e",K126&lt;&gt;"",L126&lt;&gt;""),"COMPLETE","HOLD: INPUT / EVIDENCE")))</x:f>
      </x:c>
    </x:row>
    <x:row r="127" ht="23" customHeight="1">
      <x:c r="A127" s="38"/>
      <x:c r="B127" s="36"/>
      <x:c r="C127" s="36"/>
      <x:c r="D127" s="36"/>
      <x:c r="E127" s="36"/>
      <x:c r="F127" s="36"/>
      <x:c r="G127" s="36"/>
      <x:c r="H127" s="36"/>
      <x:c r="I127" s="41" t="str">
        <x:f>IF(A127="","",IF(COUNT(G127:H127)=2,G127*H127,""))</x:f>
      </x:c>
      <x:c r="J127" s="36"/>
      <x:c r="K127" s="36"/>
      <x:c r="L127" s="36"/>
      <x:c r="M127" s="36"/>
      <x:c r="N127" s="41" t="str">
        <x:f>IF(A127="","",IF(M127="NO","EXCLUDED",IF(AND(COUNTIF($A$6:$A$305,A127)=1,M127="YES",OR(B127="EA",B127="EP"),C127&lt;&gt;"",OR(D127="BL",D127="PJ",D127="LK"),F127&lt;&gt;"",ISNUMBER(I127),J127="t CO2e",K127&lt;&gt;"",L127&lt;&gt;""),"COMPLETE","HOLD: INPUT / EVIDENCE")))</x:f>
      </x:c>
    </x:row>
    <x:row r="128" ht="23" customHeight="1">
      <x:c r="A128" s="38"/>
      <x:c r="B128" s="36"/>
      <x:c r="C128" s="36"/>
      <x:c r="D128" s="36"/>
      <x:c r="E128" s="36"/>
      <x:c r="F128" s="36"/>
      <x:c r="G128" s="36"/>
      <x:c r="H128" s="36"/>
      <x:c r="I128" s="41" t="str">
        <x:f>IF(A128="","",IF(COUNT(G128:H128)=2,G128*H128,""))</x:f>
      </x:c>
      <x:c r="J128" s="36"/>
      <x:c r="K128" s="36"/>
      <x:c r="L128" s="36"/>
      <x:c r="M128" s="36"/>
      <x:c r="N128" s="41" t="str">
        <x:f>IF(A128="","",IF(M128="NO","EXCLUDED",IF(AND(COUNTIF($A$6:$A$305,A128)=1,M128="YES",OR(B128="EA",B128="EP"),C128&lt;&gt;"",OR(D128="BL",D128="PJ",D128="LK"),F128&lt;&gt;"",ISNUMBER(I128),J128="t CO2e",K128&lt;&gt;"",L128&lt;&gt;""),"COMPLETE","HOLD: INPUT / EVIDENCE")))</x:f>
      </x:c>
    </x:row>
    <x:row r="129" ht="23" customHeight="1">
      <x:c r="A129" s="38"/>
      <x:c r="B129" s="36"/>
      <x:c r="C129" s="36"/>
      <x:c r="D129" s="36"/>
      <x:c r="E129" s="36"/>
      <x:c r="F129" s="36"/>
      <x:c r="G129" s="36"/>
      <x:c r="H129" s="36"/>
      <x:c r="I129" s="41" t="str">
        <x:f>IF(A129="","",IF(COUNT(G129:H129)=2,G129*H129,""))</x:f>
      </x:c>
      <x:c r="J129" s="36"/>
      <x:c r="K129" s="36"/>
      <x:c r="L129" s="36"/>
      <x:c r="M129" s="36"/>
      <x:c r="N129" s="41" t="str">
        <x:f>IF(A129="","",IF(M129="NO","EXCLUDED",IF(AND(COUNTIF($A$6:$A$305,A129)=1,M129="YES",OR(B129="EA",B129="EP"),C129&lt;&gt;"",OR(D129="BL",D129="PJ",D129="LK"),F129&lt;&gt;"",ISNUMBER(I129),J129="t CO2e",K129&lt;&gt;"",L129&lt;&gt;""),"COMPLETE","HOLD: INPUT / EVIDENCE")))</x:f>
      </x:c>
    </x:row>
    <x:row r="130" ht="23" customHeight="1">
      <x:c r="A130" s="38"/>
      <x:c r="B130" s="36"/>
      <x:c r="C130" s="36"/>
      <x:c r="D130" s="36"/>
      <x:c r="E130" s="36"/>
      <x:c r="F130" s="36"/>
      <x:c r="G130" s="36"/>
      <x:c r="H130" s="36"/>
      <x:c r="I130" s="41" t="str">
        <x:f>IF(A130="","",IF(COUNT(G130:H130)=2,G130*H130,""))</x:f>
      </x:c>
      <x:c r="J130" s="36"/>
      <x:c r="K130" s="36"/>
      <x:c r="L130" s="36"/>
      <x:c r="M130" s="36"/>
      <x:c r="N130" s="41" t="str">
        <x:f>IF(A130="","",IF(M130="NO","EXCLUDED",IF(AND(COUNTIF($A$6:$A$305,A130)=1,M130="YES",OR(B130="EA",B130="EP"),C130&lt;&gt;"",OR(D130="BL",D130="PJ",D130="LK"),F130&lt;&gt;"",ISNUMBER(I130),J130="t CO2e",K130&lt;&gt;"",L130&lt;&gt;""),"COMPLETE","HOLD: INPUT / EVIDENCE")))</x:f>
      </x:c>
    </x:row>
    <x:row r="131" ht="23" customHeight="1">
      <x:c r="A131" s="38"/>
      <x:c r="B131" s="36"/>
      <x:c r="C131" s="36"/>
      <x:c r="D131" s="36"/>
      <x:c r="E131" s="36"/>
      <x:c r="F131" s="36"/>
      <x:c r="G131" s="36"/>
      <x:c r="H131" s="36"/>
      <x:c r="I131" s="41" t="str">
        <x:f>IF(A131="","",IF(COUNT(G131:H131)=2,G131*H131,""))</x:f>
      </x:c>
      <x:c r="J131" s="36"/>
      <x:c r="K131" s="36"/>
      <x:c r="L131" s="36"/>
      <x:c r="M131" s="36"/>
      <x:c r="N131" s="41" t="str">
        <x:f>IF(A131="","",IF(M131="NO","EXCLUDED",IF(AND(COUNTIF($A$6:$A$305,A131)=1,M131="YES",OR(B131="EA",B131="EP"),C131&lt;&gt;"",OR(D131="BL",D131="PJ",D131="LK"),F131&lt;&gt;"",ISNUMBER(I131),J131="t CO2e",K131&lt;&gt;"",L131&lt;&gt;""),"COMPLETE","HOLD: INPUT / EVIDENCE")))</x:f>
      </x:c>
    </x:row>
    <x:row r="132" ht="23" customHeight="1">
      <x:c r="A132" s="38"/>
      <x:c r="B132" s="36"/>
      <x:c r="C132" s="36"/>
      <x:c r="D132" s="36"/>
      <x:c r="E132" s="36"/>
      <x:c r="F132" s="36"/>
      <x:c r="G132" s="36"/>
      <x:c r="H132" s="36"/>
      <x:c r="I132" s="41" t="str">
        <x:f>IF(A132="","",IF(COUNT(G132:H132)=2,G132*H132,""))</x:f>
      </x:c>
      <x:c r="J132" s="36"/>
      <x:c r="K132" s="36"/>
      <x:c r="L132" s="36"/>
      <x:c r="M132" s="36"/>
      <x:c r="N132" s="41" t="str">
        <x:f>IF(A132="","",IF(M132="NO","EXCLUDED",IF(AND(COUNTIF($A$6:$A$305,A132)=1,M132="YES",OR(B132="EA",B132="EP"),C132&lt;&gt;"",OR(D132="BL",D132="PJ",D132="LK"),F132&lt;&gt;"",ISNUMBER(I132),J132="t CO2e",K132&lt;&gt;"",L132&lt;&gt;""),"COMPLETE","HOLD: INPUT / EVIDENCE")))</x:f>
      </x:c>
    </x:row>
    <x:row r="133" ht="23" customHeight="1">
      <x:c r="A133" s="38"/>
      <x:c r="B133" s="36"/>
      <x:c r="C133" s="36"/>
      <x:c r="D133" s="36"/>
      <x:c r="E133" s="36"/>
      <x:c r="F133" s="36"/>
      <x:c r="G133" s="36"/>
      <x:c r="H133" s="36"/>
      <x:c r="I133" s="41" t="str">
        <x:f>IF(A133="","",IF(COUNT(G133:H133)=2,G133*H133,""))</x:f>
      </x:c>
      <x:c r="J133" s="36"/>
      <x:c r="K133" s="36"/>
      <x:c r="L133" s="36"/>
      <x:c r="M133" s="36"/>
      <x:c r="N133" s="41" t="str">
        <x:f>IF(A133="","",IF(M133="NO","EXCLUDED",IF(AND(COUNTIF($A$6:$A$305,A133)=1,M133="YES",OR(B133="EA",B133="EP"),C133&lt;&gt;"",OR(D133="BL",D133="PJ",D133="LK"),F133&lt;&gt;"",ISNUMBER(I133),J133="t CO2e",K133&lt;&gt;"",L133&lt;&gt;""),"COMPLETE","HOLD: INPUT / EVIDENCE")))</x:f>
      </x:c>
    </x:row>
    <x:row r="134" ht="23" customHeight="1">
      <x:c r="A134" s="38"/>
      <x:c r="B134" s="36"/>
      <x:c r="C134" s="36"/>
      <x:c r="D134" s="36"/>
      <x:c r="E134" s="36"/>
      <x:c r="F134" s="36"/>
      <x:c r="G134" s="36"/>
      <x:c r="H134" s="36"/>
      <x:c r="I134" s="41" t="str">
        <x:f>IF(A134="","",IF(COUNT(G134:H134)=2,G134*H134,""))</x:f>
      </x:c>
      <x:c r="J134" s="36"/>
      <x:c r="K134" s="36"/>
      <x:c r="L134" s="36"/>
      <x:c r="M134" s="36"/>
      <x:c r="N134" s="41" t="str">
        <x:f>IF(A134="","",IF(M134="NO","EXCLUDED",IF(AND(COUNTIF($A$6:$A$305,A134)=1,M134="YES",OR(B134="EA",B134="EP"),C134&lt;&gt;"",OR(D134="BL",D134="PJ",D134="LK"),F134&lt;&gt;"",ISNUMBER(I134),J134="t CO2e",K134&lt;&gt;"",L134&lt;&gt;""),"COMPLETE","HOLD: INPUT / EVIDENCE")))</x:f>
      </x:c>
    </x:row>
    <x:row r="135" ht="23" customHeight="1">
      <x:c r="A135" s="38"/>
      <x:c r="B135" s="36"/>
      <x:c r="C135" s="36"/>
      <x:c r="D135" s="36"/>
      <x:c r="E135" s="36"/>
      <x:c r="F135" s="36"/>
      <x:c r="G135" s="36"/>
      <x:c r="H135" s="36"/>
      <x:c r="I135" s="41" t="str">
        <x:f>IF(A135="","",IF(COUNT(G135:H135)=2,G135*H135,""))</x:f>
      </x:c>
      <x:c r="J135" s="36"/>
      <x:c r="K135" s="36"/>
      <x:c r="L135" s="36"/>
      <x:c r="M135" s="36"/>
      <x:c r="N135" s="41" t="str">
        <x:f>IF(A135="","",IF(M135="NO","EXCLUDED",IF(AND(COUNTIF($A$6:$A$305,A135)=1,M135="YES",OR(B135="EA",B135="EP"),C135&lt;&gt;"",OR(D135="BL",D135="PJ",D135="LK"),F135&lt;&gt;"",ISNUMBER(I135),J135="t CO2e",K135&lt;&gt;"",L135&lt;&gt;""),"COMPLETE","HOLD: INPUT / EVIDENCE")))</x:f>
      </x:c>
    </x:row>
    <x:row r="136" ht="23" customHeight="1">
      <x:c r="A136" s="38"/>
      <x:c r="B136" s="36"/>
      <x:c r="C136" s="36"/>
      <x:c r="D136" s="36"/>
      <x:c r="E136" s="36"/>
      <x:c r="F136" s="36"/>
      <x:c r="G136" s="36"/>
      <x:c r="H136" s="36"/>
      <x:c r="I136" s="41" t="str">
        <x:f>IF(A136="","",IF(COUNT(G136:H136)=2,G136*H136,""))</x:f>
      </x:c>
      <x:c r="J136" s="36"/>
      <x:c r="K136" s="36"/>
      <x:c r="L136" s="36"/>
      <x:c r="M136" s="36"/>
      <x:c r="N136" s="41" t="str">
        <x:f>IF(A136="","",IF(M136="NO","EXCLUDED",IF(AND(COUNTIF($A$6:$A$305,A136)=1,M136="YES",OR(B136="EA",B136="EP"),C136&lt;&gt;"",OR(D136="BL",D136="PJ",D136="LK"),F136&lt;&gt;"",ISNUMBER(I136),J136="t CO2e",K136&lt;&gt;"",L136&lt;&gt;""),"COMPLETE","HOLD: INPUT / EVIDENCE")))</x:f>
      </x:c>
    </x:row>
    <x:row r="137" ht="23" customHeight="1">
      <x:c r="A137" s="38"/>
      <x:c r="B137" s="36"/>
      <x:c r="C137" s="36"/>
      <x:c r="D137" s="36"/>
      <x:c r="E137" s="36"/>
      <x:c r="F137" s="36"/>
      <x:c r="G137" s="36"/>
      <x:c r="H137" s="36"/>
      <x:c r="I137" s="41" t="str">
        <x:f>IF(A137="","",IF(COUNT(G137:H137)=2,G137*H137,""))</x:f>
      </x:c>
      <x:c r="J137" s="36"/>
      <x:c r="K137" s="36"/>
      <x:c r="L137" s="36"/>
      <x:c r="M137" s="36"/>
      <x:c r="N137" s="41" t="str">
        <x:f>IF(A137="","",IF(M137="NO","EXCLUDED",IF(AND(COUNTIF($A$6:$A$305,A137)=1,M137="YES",OR(B137="EA",B137="EP"),C137&lt;&gt;"",OR(D137="BL",D137="PJ",D137="LK"),F137&lt;&gt;"",ISNUMBER(I137),J137="t CO2e",K137&lt;&gt;"",L137&lt;&gt;""),"COMPLETE","HOLD: INPUT / EVIDENCE")))</x:f>
      </x:c>
    </x:row>
    <x:row r="138" ht="23" customHeight="1">
      <x:c r="A138" s="38"/>
      <x:c r="B138" s="36"/>
      <x:c r="C138" s="36"/>
      <x:c r="D138" s="36"/>
      <x:c r="E138" s="36"/>
      <x:c r="F138" s="36"/>
      <x:c r="G138" s="36"/>
      <x:c r="H138" s="36"/>
      <x:c r="I138" s="41" t="str">
        <x:f>IF(A138="","",IF(COUNT(G138:H138)=2,G138*H138,""))</x:f>
      </x:c>
      <x:c r="J138" s="36"/>
      <x:c r="K138" s="36"/>
      <x:c r="L138" s="36"/>
      <x:c r="M138" s="36"/>
      <x:c r="N138" s="41" t="str">
        <x:f>IF(A138="","",IF(M138="NO","EXCLUDED",IF(AND(COUNTIF($A$6:$A$305,A138)=1,M138="YES",OR(B138="EA",B138="EP"),C138&lt;&gt;"",OR(D138="BL",D138="PJ",D138="LK"),F138&lt;&gt;"",ISNUMBER(I138),J138="t CO2e",K138&lt;&gt;"",L138&lt;&gt;""),"COMPLETE","HOLD: INPUT / EVIDENCE")))</x:f>
      </x:c>
    </x:row>
    <x:row r="139" ht="23" customHeight="1">
      <x:c r="A139" s="38"/>
      <x:c r="B139" s="36"/>
      <x:c r="C139" s="36"/>
      <x:c r="D139" s="36"/>
      <x:c r="E139" s="36"/>
      <x:c r="F139" s="36"/>
      <x:c r="G139" s="36"/>
      <x:c r="H139" s="36"/>
      <x:c r="I139" s="41" t="str">
        <x:f>IF(A139="","",IF(COUNT(G139:H139)=2,G139*H139,""))</x:f>
      </x:c>
      <x:c r="J139" s="36"/>
      <x:c r="K139" s="36"/>
      <x:c r="L139" s="36"/>
      <x:c r="M139" s="36"/>
      <x:c r="N139" s="41" t="str">
        <x:f>IF(A139="","",IF(M139="NO","EXCLUDED",IF(AND(COUNTIF($A$6:$A$305,A139)=1,M139="YES",OR(B139="EA",B139="EP"),C139&lt;&gt;"",OR(D139="BL",D139="PJ",D139="LK"),F139&lt;&gt;"",ISNUMBER(I139),J139="t CO2e",K139&lt;&gt;"",L139&lt;&gt;""),"COMPLETE","HOLD: INPUT / EVIDENCE")))</x:f>
      </x:c>
    </x:row>
    <x:row r="140" ht="23" customHeight="1">
      <x:c r="A140" s="38"/>
      <x:c r="B140" s="36"/>
      <x:c r="C140" s="36"/>
      <x:c r="D140" s="36"/>
      <x:c r="E140" s="36"/>
      <x:c r="F140" s="36"/>
      <x:c r="G140" s="36"/>
      <x:c r="H140" s="36"/>
      <x:c r="I140" s="41" t="str">
        <x:f>IF(A140="","",IF(COUNT(G140:H140)=2,G140*H140,""))</x:f>
      </x:c>
      <x:c r="J140" s="36"/>
      <x:c r="K140" s="36"/>
      <x:c r="L140" s="36"/>
      <x:c r="M140" s="36"/>
      <x:c r="N140" s="41" t="str">
        <x:f>IF(A140="","",IF(M140="NO","EXCLUDED",IF(AND(COUNTIF($A$6:$A$305,A140)=1,M140="YES",OR(B140="EA",B140="EP"),C140&lt;&gt;"",OR(D140="BL",D140="PJ",D140="LK"),F140&lt;&gt;"",ISNUMBER(I140),J140="t CO2e",K140&lt;&gt;"",L140&lt;&gt;""),"COMPLETE","HOLD: INPUT / EVIDENCE")))</x:f>
      </x:c>
    </x:row>
    <x:row r="141" ht="23" customHeight="1">
      <x:c r="A141" s="38"/>
      <x:c r="B141" s="36"/>
      <x:c r="C141" s="36"/>
      <x:c r="D141" s="36"/>
      <x:c r="E141" s="36"/>
      <x:c r="F141" s="36"/>
      <x:c r="G141" s="36"/>
      <x:c r="H141" s="36"/>
      <x:c r="I141" s="41" t="str">
        <x:f>IF(A141="","",IF(COUNT(G141:H141)=2,G141*H141,""))</x:f>
      </x:c>
      <x:c r="J141" s="36"/>
      <x:c r="K141" s="36"/>
      <x:c r="L141" s="36"/>
      <x:c r="M141" s="36"/>
      <x:c r="N141" s="41" t="str">
        <x:f>IF(A141="","",IF(M141="NO","EXCLUDED",IF(AND(COUNTIF($A$6:$A$305,A141)=1,M141="YES",OR(B141="EA",B141="EP"),C141&lt;&gt;"",OR(D141="BL",D141="PJ",D141="LK"),F141&lt;&gt;"",ISNUMBER(I141),J141="t CO2e",K141&lt;&gt;"",L141&lt;&gt;""),"COMPLETE","HOLD: INPUT / EVIDENCE")))</x:f>
      </x:c>
    </x:row>
    <x:row r="142" ht="23" customHeight="1">
      <x:c r="A142" s="38"/>
      <x:c r="B142" s="36"/>
      <x:c r="C142" s="36"/>
      <x:c r="D142" s="36"/>
      <x:c r="E142" s="36"/>
      <x:c r="F142" s="36"/>
      <x:c r="G142" s="36"/>
      <x:c r="H142" s="36"/>
      <x:c r="I142" s="41" t="str">
        <x:f>IF(A142="","",IF(COUNT(G142:H142)=2,G142*H142,""))</x:f>
      </x:c>
      <x:c r="J142" s="36"/>
      <x:c r="K142" s="36"/>
      <x:c r="L142" s="36"/>
      <x:c r="M142" s="36"/>
      <x:c r="N142" s="41" t="str">
        <x:f>IF(A142="","",IF(M142="NO","EXCLUDED",IF(AND(COUNTIF($A$6:$A$305,A142)=1,M142="YES",OR(B142="EA",B142="EP"),C142&lt;&gt;"",OR(D142="BL",D142="PJ",D142="LK"),F142&lt;&gt;"",ISNUMBER(I142),J142="t CO2e",K142&lt;&gt;"",L142&lt;&gt;""),"COMPLETE","HOLD: INPUT / EVIDENCE")))</x:f>
      </x:c>
    </x:row>
    <x:row r="143" ht="23" customHeight="1">
      <x:c r="A143" s="38"/>
      <x:c r="B143" s="36"/>
      <x:c r="C143" s="36"/>
      <x:c r="D143" s="36"/>
      <x:c r="E143" s="36"/>
      <x:c r="F143" s="36"/>
      <x:c r="G143" s="36"/>
      <x:c r="H143" s="36"/>
      <x:c r="I143" s="41" t="str">
        <x:f>IF(A143="","",IF(COUNT(G143:H143)=2,G143*H143,""))</x:f>
      </x:c>
      <x:c r="J143" s="36"/>
      <x:c r="K143" s="36"/>
      <x:c r="L143" s="36"/>
      <x:c r="M143" s="36"/>
      <x:c r="N143" s="41" t="str">
        <x:f>IF(A143="","",IF(M143="NO","EXCLUDED",IF(AND(COUNTIF($A$6:$A$305,A143)=1,M143="YES",OR(B143="EA",B143="EP"),C143&lt;&gt;"",OR(D143="BL",D143="PJ",D143="LK"),F143&lt;&gt;"",ISNUMBER(I143),J143="t CO2e",K143&lt;&gt;"",L143&lt;&gt;""),"COMPLETE","HOLD: INPUT / EVIDENCE")))</x:f>
      </x:c>
    </x:row>
    <x:row r="144" ht="23" customHeight="1">
      <x:c r="A144" s="38"/>
      <x:c r="B144" s="36"/>
      <x:c r="C144" s="36"/>
      <x:c r="D144" s="36"/>
      <x:c r="E144" s="36"/>
      <x:c r="F144" s="36"/>
      <x:c r="G144" s="36"/>
      <x:c r="H144" s="36"/>
      <x:c r="I144" s="41" t="str">
        <x:f>IF(A144="","",IF(COUNT(G144:H144)=2,G144*H144,""))</x:f>
      </x:c>
      <x:c r="J144" s="36"/>
      <x:c r="K144" s="36"/>
      <x:c r="L144" s="36"/>
      <x:c r="M144" s="36"/>
      <x:c r="N144" s="41" t="str">
        <x:f>IF(A144="","",IF(M144="NO","EXCLUDED",IF(AND(COUNTIF($A$6:$A$305,A144)=1,M144="YES",OR(B144="EA",B144="EP"),C144&lt;&gt;"",OR(D144="BL",D144="PJ",D144="LK"),F144&lt;&gt;"",ISNUMBER(I144),J144="t CO2e",K144&lt;&gt;"",L144&lt;&gt;""),"COMPLETE","HOLD: INPUT / EVIDENCE")))</x:f>
      </x:c>
    </x:row>
    <x:row r="145" ht="23" customHeight="1">
      <x:c r="A145" s="38"/>
      <x:c r="B145" s="36"/>
      <x:c r="C145" s="36"/>
      <x:c r="D145" s="36"/>
      <x:c r="E145" s="36"/>
      <x:c r="F145" s="36"/>
      <x:c r="G145" s="36"/>
      <x:c r="H145" s="36"/>
      <x:c r="I145" s="41" t="str">
        <x:f>IF(A145="","",IF(COUNT(G145:H145)=2,G145*H145,""))</x:f>
      </x:c>
      <x:c r="J145" s="36"/>
      <x:c r="K145" s="36"/>
      <x:c r="L145" s="36"/>
      <x:c r="M145" s="36"/>
      <x:c r="N145" s="41" t="str">
        <x:f>IF(A145="","",IF(M145="NO","EXCLUDED",IF(AND(COUNTIF($A$6:$A$305,A145)=1,M145="YES",OR(B145="EA",B145="EP"),C145&lt;&gt;"",OR(D145="BL",D145="PJ",D145="LK"),F145&lt;&gt;"",ISNUMBER(I145),J145="t CO2e",K145&lt;&gt;"",L145&lt;&gt;""),"COMPLETE","HOLD: INPUT / EVIDENCE")))</x:f>
      </x:c>
    </x:row>
    <x:row r="146" ht="23" customHeight="1">
      <x:c r="A146" s="38"/>
      <x:c r="B146" s="36"/>
      <x:c r="C146" s="36"/>
      <x:c r="D146" s="36"/>
      <x:c r="E146" s="36"/>
      <x:c r="F146" s="36"/>
      <x:c r="G146" s="36"/>
      <x:c r="H146" s="36"/>
      <x:c r="I146" s="41" t="str">
        <x:f>IF(A146="","",IF(COUNT(G146:H146)=2,G146*H146,""))</x:f>
      </x:c>
      <x:c r="J146" s="36"/>
      <x:c r="K146" s="36"/>
      <x:c r="L146" s="36"/>
      <x:c r="M146" s="36"/>
      <x:c r="N146" s="41" t="str">
        <x:f>IF(A146="","",IF(M146="NO","EXCLUDED",IF(AND(COUNTIF($A$6:$A$305,A146)=1,M146="YES",OR(B146="EA",B146="EP"),C146&lt;&gt;"",OR(D146="BL",D146="PJ",D146="LK"),F146&lt;&gt;"",ISNUMBER(I146),J146="t CO2e",K146&lt;&gt;"",L146&lt;&gt;""),"COMPLETE","HOLD: INPUT / EVIDENCE")))</x:f>
      </x:c>
    </x:row>
    <x:row r="147" ht="23" customHeight="1">
      <x:c r="A147" s="38"/>
      <x:c r="B147" s="36"/>
      <x:c r="C147" s="36"/>
      <x:c r="D147" s="36"/>
      <x:c r="E147" s="36"/>
      <x:c r="F147" s="36"/>
      <x:c r="G147" s="36"/>
      <x:c r="H147" s="36"/>
      <x:c r="I147" s="41" t="str">
        <x:f>IF(A147="","",IF(COUNT(G147:H147)=2,G147*H147,""))</x:f>
      </x:c>
      <x:c r="J147" s="36"/>
      <x:c r="K147" s="36"/>
      <x:c r="L147" s="36"/>
      <x:c r="M147" s="36"/>
      <x:c r="N147" s="41" t="str">
        <x:f>IF(A147="","",IF(M147="NO","EXCLUDED",IF(AND(COUNTIF($A$6:$A$305,A147)=1,M147="YES",OR(B147="EA",B147="EP"),C147&lt;&gt;"",OR(D147="BL",D147="PJ",D147="LK"),F147&lt;&gt;"",ISNUMBER(I147),J147="t CO2e",K147&lt;&gt;"",L147&lt;&gt;""),"COMPLETE","HOLD: INPUT / EVIDENCE")))</x:f>
      </x:c>
    </x:row>
    <x:row r="148" ht="23" customHeight="1">
      <x:c r="A148" s="38"/>
      <x:c r="B148" s="36"/>
      <x:c r="C148" s="36"/>
      <x:c r="D148" s="36"/>
      <x:c r="E148" s="36"/>
      <x:c r="F148" s="36"/>
      <x:c r="G148" s="36"/>
      <x:c r="H148" s="36"/>
      <x:c r="I148" s="41" t="str">
        <x:f>IF(A148="","",IF(COUNT(G148:H148)=2,G148*H148,""))</x:f>
      </x:c>
      <x:c r="J148" s="36"/>
      <x:c r="K148" s="36"/>
      <x:c r="L148" s="36"/>
      <x:c r="M148" s="36"/>
      <x:c r="N148" s="41" t="str">
        <x:f>IF(A148="","",IF(M148="NO","EXCLUDED",IF(AND(COUNTIF($A$6:$A$305,A148)=1,M148="YES",OR(B148="EA",B148="EP"),C148&lt;&gt;"",OR(D148="BL",D148="PJ",D148="LK"),F148&lt;&gt;"",ISNUMBER(I148),J148="t CO2e",K148&lt;&gt;"",L148&lt;&gt;""),"COMPLETE","HOLD: INPUT / EVIDENCE")))</x:f>
      </x:c>
    </x:row>
    <x:row r="149" ht="23" customHeight="1">
      <x:c r="A149" s="38"/>
      <x:c r="B149" s="36"/>
      <x:c r="C149" s="36"/>
      <x:c r="D149" s="36"/>
      <x:c r="E149" s="36"/>
      <x:c r="F149" s="36"/>
      <x:c r="G149" s="36"/>
      <x:c r="H149" s="36"/>
      <x:c r="I149" s="41" t="str">
        <x:f>IF(A149="","",IF(COUNT(G149:H149)=2,G149*H149,""))</x:f>
      </x:c>
      <x:c r="J149" s="36"/>
      <x:c r="K149" s="36"/>
      <x:c r="L149" s="36"/>
      <x:c r="M149" s="36"/>
      <x:c r="N149" s="41" t="str">
        <x:f>IF(A149="","",IF(M149="NO","EXCLUDED",IF(AND(COUNTIF($A$6:$A$305,A149)=1,M149="YES",OR(B149="EA",B149="EP"),C149&lt;&gt;"",OR(D149="BL",D149="PJ",D149="LK"),F149&lt;&gt;"",ISNUMBER(I149),J149="t CO2e",K149&lt;&gt;"",L149&lt;&gt;""),"COMPLETE","HOLD: INPUT / EVIDENCE")))</x:f>
      </x:c>
    </x:row>
    <x:row r="150" ht="23" customHeight="1">
      <x:c r="A150" s="38"/>
      <x:c r="B150" s="36"/>
      <x:c r="C150" s="36"/>
      <x:c r="D150" s="36"/>
      <x:c r="E150" s="36"/>
      <x:c r="F150" s="36"/>
      <x:c r="G150" s="36"/>
      <x:c r="H150" s="36"/>
      <x:c r="I150" s="41" t="str">
        <x:f>IF(A150="","",IF(COUNT(G150:H150)=2,G150*H150,""))</x:f>
      </x:c>
      <x:c r="J150" s="36"/>
      <x:c r="K150" s="36"/>
      <x:c r="L150" s="36"/>
      <x:c r="M150" s="36"/>
      <x:c r="N150" s="41" t="str">
        <x:f>IF(A150="","",IF(M150="NO","EXCLUDED",IF(AND(COUNTIF($A$6:$A$305,A150)=1,M150="YES",OR(B150="EA",B150="EP"),C150&lt;&gt;"",OR(D150="BL",D150="PJ",D150="LK"),F150&lt;&gt;"",ISNUMBER(I150),J150="t CO2e",K150&lt;&gt;"",L150&lt;&gt;""),"COMPLETE","HOLD: INPUT / EVIDENCE")))</x:f>
      </x:c>
    </x:row>
    <x:row r="151" ht="23" customHeight="1">
      <x:c r="A151" s="38"/>
      <x:c r="B151" s="36"/>
      <x:c r="C151" s="36"/>
      <x:c r="D151" s="36"/>
      <x:c r="E151" s="36"/>
      <x:c r="F151" s="36"/>
      <x:c r="G151" s="36"/>
      <x:c r="H151" s="36"/>
      <x:c r="I151" s="41" t="str">
        <x:f>IF(A151="","",IF(COUNT(G151:H151)=2,G151*H151,""))</x:f>
      </x:c>
      <x:c r="J151" s="36"/>
      <x:c r="K151" s="36"/>
      <x:c r="L151" s="36"/>
      <x:c r="M151" s="36"/>
      <x:c r="N151" s="41" t="str">
        <x:f>IF(A151="","",IF(M151="NO","EXCLUDED",IF(AND(COUNTIF($A$6:$A$305,A151)=1,M151="YES",OR(B151="EA",B151="EP"),C151&lt;&gt;"",OR(D151="BL",D151="PJ",D151="LK"),F151&lt;&gt;"",ISNUMBER(I151),J151="t CO2e",K151&lt;&gt;"",L151&lt;&gt;""),"COMPLETE","HOLD: INPUT / EVIDENCE")))</x:f>
      </x:c>
    </x:row>
    <x:row r="152" ht="23" customHeight="1">
      <x:c r="A152" s="38"/>
      <x:c r="B152" s="36"/>
      <x:c r="C152" s="36"/>
      <x:c r="D152" s="36"/>
      <x:c r="E152" s="36"/>
      <x:c r="F152" s="36"/>
      <x:c r="G152" s="36"/>
      <x:c r="H152" s="36"/>
      <x:c r="I152" s="41" t="str">
        <x:f>IF(A152="","",IF(COUNT(G152:H152)=2,G152*H152,""))</x:f>
      </x:c>
      <x:c r="J152" s="36"/>
      <x:c r="K152" s="36"/>
      <x:c r="L152" s="36"/>
      <x:c r="M152" s="36"/>
      <x:c r="N152" s="41" t="str">
        <x:f>IF(A152="","",IF(M152="NO","EXCLUDED",IF(AND(COUNTIF($A$6:$A$305,A152)=1,M152="YES",OR(B152="EA",B152="EP"),C152&lt;&gt;"",OR(D152="BL",D152="PJ",D152="LK"),F152&lt;&gt;"",ISNUMBER(I152),J152="t CO2e",K152&lt;&gt;"",L152&lt;&gt;""),"COMPLETE","HOLD: INPUT / EVIDENCE")))</x:f>
      </x:c>
    </x:row>
    <x:row r="153" ht="23" customHeight="1">
      <x:c r="A153" s="38"/>
      <x:c r="B153" s="36"/>
      <x:c r="C153" s="36"/>
      <x:c r="D153" s="36"/>
      <x:c r="E153" s="36"/>
      <x:c r="F153" s="36"/>
      <x:c r="G153" s="36"/>
      <x:c r="H153" s="36"/>
      <x:c r="I153" s="41" t="str">
        <x:f>IF(A153="","",IF(COUNT(G153:H153)=2,G153*H153,""))</x:f>
      </x:c>
      <x:c r="J153" s="36"/>
      <x:c r="K153" s="36"/>
      <x:c r="L153" s="36"/>
      <x:c r="M153" s="36"/>
      <x:c r="N153" s="41" t="str">
        <x:f>IF(A153="","",IF(M153="NO","EXCLUDED",IF(AND(COUNTIF($A$6:$A$305,A153)=1,M153="YES",OR(B153="EA",B153="EP"),C153&lt;&gt;"",OR(D153="BL",D153="PJ",D153="LK"),F153&lt;&gt;"",ISNUMBER(I153),J153="t CO2e",K153&lt;&gt;"",L153&lt;&gt;""),"COMPLETE","HOLD: INPUT / EVIDENCE")))</x:f>
      </x:c>
    </x:row>
    <x:row r="154" ht="23" customHeight="1">
      <x:c r="A154" s="38"/>
      <x:c r="B154" s="36"/>
      <x:c r="C154" s="36"/>
      <x:c r="D154" s="36"/>
      <x:c r="E154" s="36"/>
      <x:c r="F154" s="36"/>
      <x:c r="G154" s="36"/>
      <x:c r="H154" s="36"/>
      <x:c r="I154" s="41" t="str">
        <x:f>IF(A154="","",IF(COUNT(G154:H154)=2,G154*H154,""))</x:f>
      </x:c>
      <x:c r="J154" s="36"/>
      <x:c r="K154" s="36"/>
      <x:c r="L154" s="36"/>
      <x:c r="M154" s="36"/>
      <x:c r="N154" s="41" t="str">
        <x:f>IF(A154="","",IF(M154="NO","EXCLUDED",IF(AND(COUNTIF($A$6:$A$305,A154)=1,M154="YES",OR(B154="EA",B154="EP"),C154&lt;&gt;"",OR(D154="BL",D154="PJ",D154="LK"),F154&lt;&gt;"",ISNUMBER(I154),J154="t CO2e",K154&lt;&gt;"",L154&lt;&gt;""),"COMPLETE","HOLD: INPUT / EVIDENCE")))</x:f>
      </x:c>
    </x:row>
    <x:row r="155" ht="23" customHeight="1">
      <x:c r="A155" s="38"/>
      <x:c r="B155" s="36"/>
      <x:c r="C155" s="36"/>
      <x:c r="D155" s="36"/>
      <x:c r="E155" s="36"/>
      <x:c r="F155" s="36"/>
      <x:c r="G155" s="36"/>
      <x:c r="H155" s="36"/>
      <x:c r="I155" s="41" t="str">
        <x:f>IF(A155="","",IF(COUNT(G155:H155)=2,G155*H155,""))</x:f>
      </x:c>
      <x:c r="J155" s="36"/>
      <x:c r="K155" s="36"/>
      <x:c r="L155" s="36"/>
      <x:c r="M155" s="36"/>
      <x:c r="N155" s="41" t="str">
        <x:f>IF(A155="","",IF(M155="NO","EXCLUDED",IF(AND(COUNTIF($A$6:$A$305,A155)=1,M155="YES",OR(B155="EA",B155="EP"),C155&lt;&gt;"",OR(D155="BL",D155="PJ",D155="LK"),F155&lt;&gt;"",ISNUMBER(I155),J155="t CO2e",K155&lt;&gt;"",L155&lt;&gt;""),"COMPLETE","HOLD: INPUT / EVIDENCE")))</x:f>
      </x:c>
    </x:row>
    <x:row r="156" ht="23" customHeight="1">
      <x:c r="A156" s="38"/>
      <x:c r="B156" s="36"/>
      <x:c r="C156" s="36"/>
      <x:c r="D156" s="36"/>
      <x:c r="E156" s="36"/>
      <x:c r="F156" s="36"/>
      <x:c r="G156" s="36"/>
      <x:c r="H156" s="36"/>
      <x:c r="I156" s="41" t="str">
        <x:f>IF(A156="","",IF(COUNT(G156:H156)=2,G156*H156,""))</x:f>
      </x:c>
      <x:c r="J156" s="36"/>
      <x:c r="K156" s="36"/>
      <x:c r="L156" s="36"/>
      <x:c r="M156" s="36"/>
      <x:c r="N156" s="41" t="str">
        <x:f>IF(A156="","",IF(M156="NO","EXCLUDED",IF(AND(COUNTIF($A$6:$A$305,A156)=1,M156="YES",OR(B156="EA",B156="EP"),C156&lt;&gt;"",OR(D156="BL",D156="PJ",D156="LK"),F156&lt;&gt;"",ISNUMBER(I156),J156="t CO2e",K156&lt;&gt;"",L156&lt;&gt;""),"COMPLETE","HOLD: INPUT / EVIDENCE")))</x:f>
      </x:c>
    </x:row>
    <x:row r="157" ht="23" customHeight="1">
      <x:c r="A157" s="38"/>
      <x:c r="B157" s="36"/>
      <x:c r="C157" s="36"/>
      <x:c r="D157" s="36"/>
      <x:c r="E157" s="36"/>
      <x:c r="F157" s="36"/>
      <x:c r="G157" s="36"/>
      <x:c r="H157" s="36"/>
      <x:c r="I157" s="41" t="str">
        <x:f>IF(A157="","",IF(COUNT(G157:H157)=2,G157*H157,""))</x:f>
      </x:c>
      <x:c r="J157" s="36"/>
      <x:c r="K157" s="36"/>
      <x:c r="L157" s="36"/>
      <x:c r="M157" s="36"/>
      <x:c r="N157" s="41" t="str">
        <x:f>IF(A157="","",IF(M157="NO","EXCLUDED",IF(AND(COUNTIF($A$6:$A$305,A157)=1,M157="YES",OR(B157="EA",B157="EP"),C157&lt;&gt;"",OR(D157="BL",D157="PJ",D157="LK"),F157&lt;&gt;"",ISNUMBER(I157),J157="t CO2e",K157&lt;&gt;"",L157&lt;&gt;""),"COMPLETE","HOLD: INPUT / EVIDENCE")))</x:f>
      </x:c>
    </x:row>
    <x:row r="158" ht="23" customHeight="1">
      <x:c r="A158" s="38"/>
      <x:c r="B158" s="36"/>
      <x:c r="C158" s="36"/>
      <x:c r="D158" s="36"/>
      <x:c r="E158" s="36"/>
      <x:c r="F158" s="36"/>
      <x:c r="G158" s="36"/>
      <x:c r="H158" s="36"/>
      <x:c r="I158" s="41" t="str">
        <x:f>IF(A158="","",IF(COUNT(G158:H158)=2,G158*H158,""))</x:f>
      </x:c>
      <x:c r="J158" s="36"/>
      <x:c r="K158" s="36"/>
      <x:c r="L158" s="36"/>
      <x:c r="M158" s="36"/>
      <x:c r="N158" s="41" t="str">
        <x:f>IF(A158="","",IF(M158="NO","EXCLUDED",IF(AND(COUNTIF($A$6:$A$305,A158)=1,M158="YES",OR(B158="EA",B158="EP"),C158&lt;&gt;"",OR(D158="BL",D158="PJ",D158="LK"),F158&lt;&gt;"",ISNUMBER(I158),J158="t CO2e",K158&lt;&gt;"",L158&lt;&gt;""),"COMPLETE","HOLD: INPUT / EVIDENCE")))</x:f>
      </x:c>
    </x:row>
    <x:row r="159" ht="23" customHeight="1">
      <x:c r="A159" s="38"/>
      <x:c r="B159" s="36"/>
      <x:c r="C159" s="36"/>
      <x:c r="D159" s="36"/>
      <x:c r="E159" s="36"/>
      <x:c r="F159" s="36"/>
      <x:c r="G159" s="36"/>
      <x:c r="H159" s="36"/>
      <x:c r="I159" s="41" t="str">
        <x:f>IF(A159="","",IF(COUNT(G159:H159)=2,G159*H159,""))</x:f>
      </x:c>
      <x:c r="J159" s="36"/>
      <x:c r="K159" s="36"/>
      <x:c r="L159" s="36"/>
      <x:c r="M159" s="36"/>
      <x:c r="N159" s="41" t="str">
        <x:f>IF(A159="","",IF(M159="NO","EXCLUDED",IF(AND(COUNTIF($A$6:$A$305,A159)=1,M159="YES",OR(B159="EA",B159="EP"),C159&lt;&gt;"",OR(D159="BL",D159="PJ",D159="LK"),F159&lt;&gt;"",ISNUMBER(I159),J159="t CO2e",K159&lt;&gt;"",L159&lt;&gt;""),"COMPLETE","HOLD: INPUT / EVIDENCE")))</x:f>
      </x:c>
    </x:row>
    <x:row r="160" ht="23" customHeight="1">
      <x:c r="A160" s="38"/>
      <x:c r="B160" s="36"/>
      <x:c r="C160" s="36"/>
      <x:c r="D160" s="36"/>
      <x:c r="E160" s="36"/>
      <x:c r="F160" s="36"/>
      <x:c r="G160" s="36"/>
      <x:c r="H160" s="36"/>
      <x:c r="I160" s="41" t="str">
        <x:f>IF(A160="","",IF(COUNT(G160:H160)=2,G160*H160,""))</x:f>
      </x:c>
      <x:c r="J160" s="36"/>
      <x:c r="K160" s="36"/>
      <x:c r="L160" s="36"/>
      <x:c r="M160" s="36"/>
      <x:c r="N160" s="41" t="str">
        <x:f>IF(A160="","",IF(M160="NO","EXCLUDED",IF(AND(COUNTIF($A$6:$A$305,A160)=1,M160="YES",OR(B160="EA",B160="EP"),C160&lt;&gt;"",OR(D160="BL",D160="PJ",D160="LK"),F160&lt;&gt;"",ISNUMBER(I160),J160="t CO2e",K160&lt;&gt;"",L160&lt;&gt;""),"COMPLETE","HOLD: INPUT / EVIDENCE")))</x:f>
      </x:c>
    </x:row>
    <x:row r="161" ht="23" customHeight="1">
      <x:c r="A161" s="38"/>
      <x:c r="B161" s="36"/>
      <x:c r="C161" s="36"/>
      <x:c r="D161" s="36"/>
      <x:c r="E161" s="36"/>
      <x:c r="F161" s="36"/>
      <x:c r="G161" s="36"/>
      <x:c r="H161" s="36"/>
      <x:c r="I161" s="41" t="str">
        <x:f>IF(A161="","",IF(COUNT(G161:H161)=2,G161*H161,""))</x:f>
      </x:c>
      <x:c r="J161" s="36"/>
      <x:c r="K161" s="36"/>
      <x:c r="L161" s="36"/>
      <x:c r="M161" s="36"/>
      <x:c r="N161" s="41" t="str">
        <x:f>IF(A161="","",IF(M161="NO","EXCLUDED",IF(AND(COUNTIF($A$6:$A$305,A161)=1,M161="YES",OR(B161="EA",B161="EP"),C161&lt;&gt;"",OR(D161="BL",D161="PJ",D161="LK"),F161&lt;&gt;"",ISNUMBER(I161),J161="t CO2e",K161&lt;&gt;"",L161&lt;&gt;""),"COMPLETE","HOLD: INPUT / EVIDENCE")))</x:f>
      </x:c>
    </x:row>
    <x:row r="162" ht="23" customHeight="1">
      <x:c r="A162" s="38"/>
      <x:c r="B162" s="36"/>
      <x:c r="C162" s="36"/>
      <x:c r="D162" s="36"/>
      <x:c r="E162" s="36"/>
      <x:c r="F162" s="36"/>
      <x:c r="G162" s="36"/>
      <x:c r="H162" s="36"/>
      <x:c r="I162" s="41" t="str">
        <x:f>IF(A162="","",IF(COUNT(G162:H162)=2,G162*H162,""))</x:f>
      </x:c>
      <x:c r="J162" s="36"/>
      <x:c r="K162" s="36"/>
      <x:c r="L162" s="36"/>
      <x:c r="M162" s="36"/>
      <x:c r="N162" s="41" t="str">
        <x:f>IF(A162="","",IF(M162="NO","EXCLUDED",IF(AND(COUNTIF($A$6:$A$305,A162)=1,M162="YES",OR(B162="EA",B162="EP"),C162&lt;&gt;"",OR(D162="BL",D162="PJ",D162="LK"),F162&lt;&gt;"",ISNUMBER(I162),J162="t CO2e",K162&lt;&gt;"",L162&lt;&gt;""),"COMPLETE","HOLD: INPUT / EVIDENCE")))</x:f>
      </x:c>
    </x:row>
    <x:row r="163" ht="23" customHeight="1">
      <x:c r="A163" s="38"/>
      <x:c r="B163" s="36"/>
      <x:c r="C163" s="36"/>
      <x:c r="D163" s="36"/>
      <x:c r="E163" s="36"/>
      <x:c r="F163" s="36"/>
      <x:c r="G163" s="36"/>
      <x:c r="H163" s="36"/>
      <x:c r="I163" s="41" t="str">
        <x:f>IF(A163="","",IF(COUNT(G163:H163)=2,G163*H163,""))</x:f>
      </x:c>
      <x:c r="J163" s="36"/>
      <x:c r="K163" s="36"/>
      <x:c r="L163" s="36"/>
      <x:c r="M163" s="36"/>
      <x:c r="N163" s="41" t="str">
        <x:f>IF(A163="","",IF(M163="NO","EXCLUDED",IF(AND(COUNTIF($A$6:$A$305,A163)=1,M163="YES",OR(B163="EA",B163="EP"),C163&lt;&gt;"",OR(D163="BL",D163="PJ",D163="LK"),F163&lt;&gt;"",ISNUMBER(I163),J163="t CO2e",K163&lt;&gt;"",L163&lt;&gt;""),"COMPLETE","HOLD: INPUT / EVIDENCE")))</x:f>
      </x:c>
    </x:row>
    <x:row r="164" ht="23" customHeight="1">
      <x:c r="A164" s="38"/>
      <x:c r="B164" s="36"/>
      <x:c r="C164" s="36"/>
      <x:c r="D164" s="36"/>
      <x:c r="E164" s="36"/>
      <x:c r="F164" s="36"/>
      <x:c r="G164" s="36"/>
      <x:c r="H164" s="36"/>
      <x:c r="I164" s="41" t="str">
        <x:f>IF(A164="","",IF(COUNT(G164:H164)=2,G164*H164,""))</x:f>
      </x:c>
      <x:c r="J164" s="36"/>
      <x:c r="K164" s="36"/>
      <x:c r="L164" s="36"/>
      <x:c r="M164" s="36"/>
      <x:c r="N164" s="41" t="str">
        <x:f>IF(A164="","",IF(M164="NO","EXCLUDED",IF(AND(COUNTIF($A$6:$A$305,A164)=1,M164="YES",OR(B164="EA",B164="EP"),C164&lt;&gt;"",OR(D164="BL",D164="PJ",D164="LK"),F164&lt;&gt;"",ISNUMBER(I164),J164="t CO2e",K164&lt;&gt;"",L164&lt;&gt;""),"COMPLETE","HOLD: INPUT / EVIDENCE")))</x:f>
      </x:c>
    </x:row>
    <x:row r="165" ht="23" customHeight="1">
      <x:c r="A165" s="38"/>
      <x:c r="B165" s="36"/>
      <x:c r="C165" s="36"/>
      <x:c r="D165" s="36"/>
      <x:c r="E165" s="36"/>
      <x:c r="F165" s="36"/>
      <x:c r="G165" s="36"/>
      <x:c r="H165" s="36"/>
      <x:c r="I165" s="41" t="str">
        <x:f>IF(A165="","",IF(COUNT(G165:H165)=2,G165*H165,""))</x:f>
      </x:c>
      <x:c r="J165" s="36"/>
      <x:c r="K165" s="36"/>
      <x:c r="L165" s="36"/>
      <x:c r="M165" s="36"/>
      <x:c r="N165" s="41" t="str">
        <x:f>IF(A165="","",IF(M165="NO","EXCLUDED",IF(AND(COUNTIF($A$6:$A$305,A165)=1,M165="YES",OR(B165="EA",B165="EP"),C165&lt;&gt;"",OR(D165="BL",D165="PJ",D165="LK"),F165&lt;&gt;"",ISNUMBER(I165),J165="t CO2e",K165&lt;&gt;"",L165&lt;&gt;""),"COMPLETE","HOLD: INPUT / EVIDENCE")))</x:f>
      </x:c>
    </x:row>
    <x:row r="166" ht="23" customHeight="1">
      <x:c r="A166" s="38"/>
      <x:c r="B166" s="36"/>
      <x:c r="C166" s="36"/>
      <x:c r="D166" s="36"/>
      <x:c r="E166" s="36"/>
      <x:c r="F166" s="36"/>
      <x:c r="G166" s="36"/>
      <x:c r="H166" s="36"/>
      <x:c r="I166" s="41" t="str">
        <x:f>IF(A166="","",IF(COUNT(G166:H166)=2,G166*H166,""))</x:f>
      </x:c>
      <x:c r="J166" s="36"/>
      <x:c r="K166" s="36"/>
      <x:c r="L166" s="36"/>
      <x:c r="M166" s="36"/>
      <x:c r="N166" s="41" t="str">
        <x:f>IF(A166="","",IF(M166="NO","EXCLUDED",IF(AND(COUNTIF($A$6:$A$305,A166)=1,M166="YES",OR(B166="EA",B166="EP"),C166&lt;&gt;"",OR(D166="BL",D166="PJ",D166="LK"),F166&lt;&gt;"",ISNUMBER(I166),J166="t CO2e",K166&lt;&gt;"",L166&lt;&gt;""),"COMPLETE","HOLD: INPUT / EVIDENCE")))</x:f>
      </x:c>
    </x:row>
    <x:row r="167" ht="23" customHeight="1">
      <x:c r="A167" s="38"/>
      <x:c r="B167" s="36"/>
      <x:c r="C167" s="36"/>
      <x:c r="D167" s="36"/>
      <x:c r="E167" s="36"/>
      <x:c r="F167" s="36"/>
      <x:c r="G167" s="36"/>
      <x:c r="H167" s="36"/>
      <x:c r="I167" s="41" t="str">
        <x:f>IF(A167="","",IF(COUNT(G167:H167)=2,G167*H167,""))</x:f>
      </x:c>
      <x:c r="J167" s="36"/>
      <x:c r="K167" s="36"/>
      <x:c r="L167" s="36"/>
      <x:c r="M167" s="36"/>
      <x:c r="N167" s="41" t="str">
        <x:f>IF(A167="","",IF(M167="NO","EXCLUDED",IF(AND(COUNTIF($A$6:$A$305,A167)=1,M167="YES",OR(B167="EA",B167="EP"),C167&lt;&gt;"",OR(D167="BL",D167="PJ",D167="LK"),F167&lt;&gt;"",ISNUMBER(I167),J167="t CO2e",K167&lt;&gt;"",L167&lt;&gt;""),"COMPLETE","HOLD: INPUT / EVIDENCE")))</x:f>
      </x:c>
    </x:row>
    <x:row r="168" ht="23" customHeight="1">
      <x:c r="A168" s="38"/>
      <x:c r="B168" s="36"/>
      <x:c r="C168" s="36"/>
      <x:c r="D168" s="36"/>
      <x:c r="E168" s="36"/>
      <x:c r="F168" s="36"/>
      <x:c r="G168" s="36"/>
      <x:c r="H168" s="36"/>
      <x:c r="I168" s="41" t="str">
        <x:f>IF(A168="","",IF(COUNT(G168:H168)=2,G168*H168,""))</x:f>
      </x:c>
      <x:c r="J168" s="36"/>
      <x:c r="K168" s="36"/>
      <x:c r="L168" s="36"/>
      <x:c r="M168" s="36"/>
      <x:c r="N168" s="41" t="str">
        <x:f>IF(A168="","",IF(M168="NO","EXCLUDED",IF(AND(COUNTIF($A$6:$A$305,A168)=1,M168="YES",OR(B168="EA",B168="EP"),C168&lt;&gt;"",OR(D168="BL",D168="PJ",D168="LK"),F168&lt;&gt;"",ISNUMBER(I168),J168="t CO2e",K168&lt;&gt;"",L168&lt;&gt;""),"COMPLETE","HOLD: INPUT / EVIDENCE")))</x:f>
      </x:c>
    </x:row>
    <x:row r="169" ht="23" customHeight="1">
      <x:c r="A169" s="38"/>
      <x:c r="B169" s="36"/>
      <x:c r="C169" s="36"/>
      <x:c r="D169" s="36"/>
      <x:c r="E169" s="36"/>
      <x:c r="F169" s="36"/>
      <x:c r="G169" s="36"/>
      <x:c r="H169" s="36"/>
      <x:c r="I169" s="41" t="str">
        <x:f>IF(A169="","",IF(COUNT(G169:H169)=2,G169*H169,""))</x:f>
      </x:c>
      <x:c r="J169" s="36"/>
      <x:c r="K169" s="36"/>
      <x:c r="L169" s="36"/>
      <x:c r="M169" s="36"/>
      <x:c r="N169" s="41" t="str">
        <x:f>IF(A169="","",IF(M169="NO","EXCLUDED",IF(AND(COUNTIF($A$6:$A$305,A169)=1,M169="YES",OR(B169="EA",B169="EP"),C169&lt;&gt;"",OR(D169="BL",D169="PJ",D169="LK"),F169&lt;&gt;"",ISNUMBER(I169),J169="t CO2e",K169&lt;&gt;"",L169&lt;&gt;""),"COMPLETE","HOLD: INPUT / EVIDENCE")))</x:f>
      </x:c>
    </x:row>
    <x:row r="170" ht="23" customHeight="1">
      <x:c r="A170" s="38"/>
      <x:c r="B170" s="36"/>
      <x:c r="C170" s="36"/>
      <x:c r="D170" s="36"/>
      <x:c r="E170" s="36"/>
      <x:c r="F170" s="36"/>
      <x:c r="G170" s="36"/>
      <x:c r="H170" s="36"/>
      <x:c r="I170" s="41" t="str">
        <x:f>IF(A170="","",IF(COUNT(G170:H170)=2,G170*H170,""))</x:f>
      </x:c>
      <x:c r="J170" s="36"/>
      <x:c r="K170" s="36"/>
      <x:c r="L170" s="36"/>
      <x:c r="M170" s="36"/>
      <x:c r="N170" s="41" t="str">
        <x:f>IF(A170="","",IF(M170="NO","EXCLUDED",IF(AND(COUNTIF($A$6:$A$305,A170)=1,M170="YES",OR(B170="EA",B170="EP"),C170&lt;&gt;"",OR(D170="BL",D170="PJ",D170="LK"),F170&lt;&gt;"",ISNUMBER(I170),J170="t CO2e",K170&lt;&gt;"",L170&lt;&gt;""),"COMPLETE","HOLD: INPUT / EVIDENCE")))</x:f>
      </x:c>
    </x:row>
    <x:row r="171" ht="23" customHeight="1">
      <x:c r="A171" s="38"/>
      <x:c r="B171" s="36"/>
      <x:c r="C171" s="36"/>
      <x:c r="D171" s="36"/>
      <x:c r="E171" s="36"/>
      <x:c r="F171" s="36"/>
      <x:c r="G171" s="36"/>
      <x:c r="H171" s="36"/>
      <x:c r="I171" s="41" t="str">
        <x:f>IF(A171="","",IF(COUNT(G171:H171)=2,G171*H171,""))</x:f>
      </x:c>
      <x:c r="J171" s="36"/>
      <x:c r="K171" s="36"/>
      <x:c r="L171" s="36"/>
      <x:c r="M171" s="36"/>
      <x:c r="N171" s="41" t="str">
        <x:f>IF(A171="","",IF(M171="NO","EXCLUDED",IF(AND(COUNTIF($A$6:$A$305,A171)=1,M171="YES",OR(B171="EA",B171="EP"),C171&lt;&gt;"",OR(D171="BL",D171="PJ",D171="LK"),F171&lt;&gt;"",ISNUMBER(I171),J171="t CO2e",K171&lt;&gt;"",L171&lt;&gt;""),"COMPLETE","HOLD: INPUT / EVIDENCE")))</x:f>
      </x:c>
    </x:row>
    <x:row r="172" ht="23" customHeight="1">
      <x:c r="A172" s="38"/>
      <x:c r="B172" s="36"/>
      <x:c r="C172" s="36"/>
      <x:c r="D172" s="36"/>
      <x:c r="E172" s="36"/>
      <x:c r="F172" s="36"/>
      <x:c r="G172" s="36"/>
      <x:c r="H172" s="36"/>
      <x:c r="I172" s="41" t="str">
        <x:f>IF(A172="","",IF(COUNT(G172:H172)=2,G172*H172,""))</x:f>
      </x:c>
      <x:c r="J172" s="36"/>
      <x:c r="K172" s="36"/>
      <x:c r="L172" s="36"/>
      <x:c r="M172" s="36"/>
      <x:c r="N172" s="41" t="str">
        <x:f>IF(A172="","",IF(M172="NO","EXCLUDED",IF(AND(COUNTIF($A$6:$A$305,A172)=1,M172="YES",OR(B172="EA",B172="EP"),C172&lt;&gt;"",OR(D172="BL",D172="PJ",D172="LK"),F172&lt;&gt;"",ISNUMBER(I172),J172="t CO2e",K172&lt;&gt;"",L172&lt;&gt;""),"COMPLETE","HOLD: INPUT / EVIDENCE")))</x:f>
      </x:c>
    </x:row>
    <x:row r="173" ht="23" customHeight="1">
      <x:c r="A173" s="38"/>
      <x:c r="B173" s="36"/>
      <x:c r="C173" s="36"/>
      <x:c r="D173" s="36"/>
      <x:c r="E173" s="36"/>
      <x:c r="F173" s="36"/>
      <x:c r="G173" s="36"/>
      <x:c r="H173" s="36"/>
      <x:c r="I173" s="41" t="str">
        <x:f>IF(A173="","",IF(COUNT(G173:H173)=2,G173*H173,""))</x:f>
      </x:c>
      <x:c r="J173" s="36"/>
      <x:c r="K173" s="36"/>
      <x:c r="L173" s="36"/>
      <x:c r="M173" s="36"/>
      <x:c r="N173" s="41" t="str">
        <x:f>IF(A173="","",IF(M173="NO","EXCLUDED",IF(AND(COUNTIF($A$6:$A$305,A173)=1,M173="YES",OR(B173="EA",B173="EP"),C173&lt;&gt;"",OR(D173="BL",D173="PJ",D173="LK"),F173&lt;&gt;"",ISNUMBER(I173),J173="t CO2e",K173&lt;&gt;"",L173&lt;&gt;""),"COMPLETE","HOLD: INPUT / EVIDENCE")))</x:f>
      </x:c>
    </x:row>
    <x:row r="174" ht="23" customHeight="1">
      <x:c r="A174" s="38"/>
      <x:c r="B174" s="36"/>
      <x:c r="C174" s="36"/>
      <x:c r="D174" s="36"/>
      <x:c r="E174" s="36"/>
      <x:c r="F174" s="36"/>
      <x:c r="G174" s="36"/>
      <x:c r="H174" s="36"/>
      <x:c r="I174" s="41" t="str">
        <x:f>IF(A174="","",IF(COUNT(G174:H174)=2,G174*H174,""))</x:f>
      </x:c>
      <x:c r="J174" s="36"/>
      <x:c r="K174" s="36"/>
      <x:c r="L174" s="36"/>
      <x:c r="M174" s="36"/>
      <x:c r="N174" s="41" t="str">
        <x:f>IF(A174="","",IF(M174="NO","EXCLUDED",IF(AND(COUNTIF($A$6:$A$305,A174)=1,M174="YES",OR(B174="EA",B174="EP"),C174&lt;&gt;"",OR(D174="BL",D174="PJ",D174="LK"),F174&lt;&gt;"",ISNUMBER(I174),J174="t CO2e",K174&lt;&gt;"",L174&lt;&gt;""),"COMPLETE","HOLD: INPUT / EVIDENCE")))</x:f>
      </x:c>
    </x:row>
    <x:row r="175" ht="23" customHeight="1">
      <x:c r="A175" s="38"/>
      <x:c r="B175" s="36"/>
      <x:c r="C175" s="36"/>
      <x:c r="D175" s="36"/>
      <x:c r="E175" s="36"/>
      <x:c r="F175" s="36"/>
      <x:c r="G175" s="36"/>
      <x:c r="H175" s="36"/>
      <x:c r="I175" s="41" t="str">
        <x:f>IF(A175="","",IF(COUNT(G175:H175)=2,G175*H175,""))</x:f>
      </x:c>
      <x:c r="J175" s="36"/>
      <x:c r="K175" s="36"/>
      <x:c r="L175" s="36"/>
      <x:c r="M175" s="36"/>
      <x:c r="N175" s="41" t="str">
        <x:f>IF(A175="","",IF(M175="NO","EXCLUDED",IF(AND(COUNTIF($A$6:$A$305,A175)=1,M175="YES",OR(B175="EA",B175="EP"),C175&lt;&gt;"",OR(D175="BL",D175="PJ",D175="LK"),F175&lt;&gt;"",ISNUMBER(I175),J175="t CO2e",K175&lt;&gt;"",L175&lt;&gt;""),"COMPLETE","HOLD: INPUT / EVIDENCE")))</x:f>
      </x:c>
    </x:row>
    <x:row r="176" ht="23" customHeight="1">
      <x:c r="A176" s="38"/>
      <x:c r="B176" s="36"/>
      <x:c r="C176" s="36"/>
      <x:c r="D176" s="36"/>
      <x:c r="E176" s="36"/>
      <x:c r="F176" s="36"/>
      <x:c r="G176" s="36"/>
      <x:c r="H176" s="36"/>
      <x:c r="I176" s="41" t="str">
        <x:f>IF(A176="","",IF(COUNT(G176:H176)=2,G176*H176,""))</x:f>
      </x:c>
      <x:c r="J176" s="36"/>
      <x:c r="K176" s="36"/>
      <x:c r="L176" s="36"/>
      <x:c r="M176" s="36"/>
      <x:c r="N176" s="41" t="str">
        <x:f>IF(A176="","",IF(M176="NO","EXCLUDED",IF(AND(COUNTIF($A$6:$A$305,A176)=1,M176="YES",OR(B176="EA",B176="EP"),C176&lt;&gt;"",OR(D176="BL",D176="PJ",D176="LK"),F176&lt;&gt;"",ISNUMBER(I176),J176="t CO2e",K176&lt;&gt;"",L176&lt;&gt;""),"COMPLETE","HOLD: INPUT / EVIDENCE")))</x:f>
      </x:c>
    </x:row>
    <x:row r="177" ht="23" customHeight="1">
      <x:c r="A177" s="38"/>
      <x:c r="B177" s="36"/>
      <x:c r="C177" s="36"/>
      <x:c r="D177" s="36"/>
      <x:c r="E177" s="36"/>
      <x:c r="F177" s="36"/>
      <x:c r="G177" s="36"/>
      <x:c r="H177" s="36"/>
      <x:c r="I177" s="41" t="str">
        <x:f>IF(A177="","",IF(COUNT(G177:H177)=2,G177*H177,""))</x:f>
      </x:c>
      <x:c r="J177" s="36"/>
      <x:c r="K177" s="36"/>
      <x:c r="L177" s="36"/>
      <x:c r="M177" s="36"/>
      <x:c r="N177" s="41" t="str">
        <x:f>IF(A177="","",IF(M177="NO","EXCLUDED",IF(AND(COUNTIF($A$6:$A$305,A177)=1,M177="YES",OR(B177="EA",B177="EP"),C177&lt;&gt;"",OR(D177="BL",D177="PJ",D177="LK"),F177&lt;&gt;"",ISNUMBER(I177),J177="t CO2e",K177&lt;&gt;"",L177&lt;&gt;""),"COMPLETE","HOLD: INPUT / EVIDENCE")))</x:f>
      </x:c>
    </x:row>
    <x:row r="178" ht="23" customHeight="1">
      <x:c r="A178" s="38"/>
      <x:c r="B178" s="36"/>
      <x:c r="C178" s="36"/>
      <x:c r="D178" s="36"/>
      <x:c r="E178" s="36"/>
      <x:c r="F178" s="36"/>
      <x:c r="G178" s="36"/>
      <x:c r="H178" s="36"/>
      <x:c r="I178" s="41" t="str">
        <x:f>IF(A178="","",IF(COUNT(G178:H178)=2,G178*H178,""))</x:f>
      </x:c>
      <x:c r="J178" s="36"/>
      <x:c r="K178" s="36"/>
      <x:c r="L178" s="36"/>
      <x:c r="M178" s="36"/>
      <x:c r="N178" s="41" t="str">
        <x:f>IF(A178="","",IF(M178="NO","EXCLUDED",IF(AND(COUNTIF($A$6:$A$305,A178)=1,M178="YES",OR(B178="EA",B178="EP"),C178&lt;&gt;"",OR(D178="BL",D178="PJ",D178="LK"),F178&lt;&gt;"",ISNUMBER(I178),J178="t CO2e",K178&lt;&gt;"",L178&lt;&gt;""),"COMPLETE","HOLD: INPUT / EVIDENCE")))</x:f>
      </x:c>
    </x:row>
    <x:row r="179" ht="23" customHeight="1">
      <x:c r="A179" s="38"/>
      <x:c r="B179" s="36"/>
      <x:c r="C179" s="36"/>
      <x:c r="D179" s="36"/>
      <x:c r="E179" s="36"/>
      <x:c r="F179" s="36"/>
      <x:c r="G179" s="36"/>
      <x:c r="H179" s="36"/>
      <x:c r="I179" s="41" t="str">
        <x:f>IF(A179="","",IF(COUNT(G179:H179)=2,G179*H179,""))</x:f>
      </x:c>
      <x:c r="J179" s="36"/>
      <x:c r="K179" s="36"/>
      <x:c r="L179" s="36"/>
      <x:c r="M179" s="36"/>
      <x:c r="N179" s="41" t="str">
        <x:f>IF(A179="","",IF(M179="NO","EXCLUDED",IF(AND(COUNTIF($A$6:$A$305,A179)=1,M179="YES",OR(B179="EA",B179="EP"),C179&lt;&gt;"",OR(D179="BL",D179="PJ",D179="LK"),F179&lt;&gt;"",ISNUMBER(I179),J179="t CO2e",K179&lt;&gt;"",L179&lt;&gt;""),"COMPLETE","HOLD: INPUT / EVIDENCE")))</x:f>
      </x:c>
    </x:row>
    <x:row r="180" ht="23" customHeight="1">
      <x:c r="A180" s="38"/>
      <x:c r="B180" s="36"/>
      <x:c r="C180" s="36"/>
      <x:c r="D180" s="36"/>
      <x:c r="E180" s="36"/>
      <x:c r="F180" s="36"/>
      <x:c r="G180" s="36"/>
      <x:c r="H180" s="36"/>
      <x:c r="I180" s="41" t="str">
        <x:f>IF(A180="","",IF(COUNT(G180:H180)=2,G180*H180,""))</x:f>
      </x:c>
      <x:c r="J180" s="36"/>
      <x:c r="K180" s="36"/>
      <x:c r="L180" s="36"/>
      <x:c r="M180" s="36"/>
      <x:c r="N180" s="41" t="str">
        <x:f>IF(A180="","",IF(M180="NO","EXCLUDED",IF(AND(COUNTIF($A$6:$A$305,A180)=1,M180="YES",OR(B180="EA",B180="EP"),C180&lt;&gt;"",OR(D180="BL",D180="PJ",D180="LK"),F180&lt;&gt;"",ISNUMBER(I180),J180="t CO2e",K180&lt;&gt;"",L180&lt;&gt;""),"COMPLETE","HOLD: INPUT / EVIDENCE")))</x:f>
      </x:c>
    </x:row>
    <x:row r="181" ht="23" customHeight="1">
      <x:c r="A181" s="38"/>
      <x:c r="B181" s="36"/>
      <x:c r="C181" s="36"/>
      <x:c r="D181" s="36"/>
      <x:c r="E181" s="36"/>
      <x:c r="F181" s="36"/>
      <x:c r="G181" s="36"/>
      <x:c r="H181" s="36"/>
      <x:c r="I181" s="41" t="str">
        <x:f>IF(A181="","",IF(COUNT(G181:H181)=2,G181*H181,""))</x:f>
      </x:c>
      <x:c r="J181" s="36"/>
      <x:c r="K181" s="36"/>
      <x:c r="L181" s="36"/>
      <x:c r="M181" s="36"/>
      <x:c r="N181" s="41" t="str">
        <x:f>IF(A181="","",IF(M181="NO","EXCLUDED",IF(AND(COUNTIF($A$6:$A$305,A181)=1,M181="YES",OR(B181="EA",B181="EP"),C181&lt;&gt;"",OR(D181="BL",D181="PJ",D181="LK"),F181&lt;&gt;"",ISNUMBER(I181),J181="t CO2e",K181&lt;&gt;"",L181&lt;&gt;""),"COMPLETE","HOLD: INPUT / EVIDENCE")))</x:f>
      </x:c>
    </x:row>
    <x:row r="182" ht="23" customHeight="1">
      <x:c r="A182" s="38"/>
      <x:c r="B182" s="36"/>
      <x:c r="C182" s="36"/>
      <x:c r="D182" s="36"/>
      <x:c r="E182" s="36"/>
      <x:c r="F182" s="36"/>
      <x:c r="G182" s="36"/>
      <x:c r="H182" s="36"/>
      <x:c r="I182" s="41" t="str">
        <x:f>IF(A182="","",IF(COUNT(G182:H182)=2,G182*H182,""))</x:f>
      </x:c>
      <x:c r="J182" s="36"/>
      <x:c r="K182" s="36"/>
      <x:c r="L182" s="36"/>
      <x:c r="M182" s="36"/>
      <x:c r="N182" s="41" t="str">
        <x:f>IF(A182="","",IF(M182="NO","EXCLUDED",IF(AND(COUNTIF($A$6:$A$305,A182)=1,M182="YES",OR(B182="EA",B182="EP"),C182&lt;&gt;"",OR(D182="BL",D182="PJ",D182="LK"),F182&lt;&gt;"",ISNUMBER(I182),J182="t CO2e",K182&lt;&gt;"",L182&lt;&gt;""),"COMPLETE","HOLD: INPUT / EVIDENCE")))</x:f>
      </x:c>
    </x:row>
    <x:row r="183" ht="23" customHeight="1">
      <x:c r="A183" s="38"/>
      <x:c r="B183" s="36"/>
      <x:c r="C183" s="36"/>
      <x:c r="D183" s="36"/>
      <x:c r="E183" s="36"/>
      <x:c r="F183" s="36"/>
      <x:c r="G183" s="36"/>
      <x:c r="H183" s="36"/>
      <x:c r="I183" s="41" t="str">
        <x:f>IF(A183="","",IF(COUNT(G183:H183)=2,G183*H183,""))</x:f>
      </x:c>
      <x:c r="J183" s="36"/>
      <x:c r="K183" s="36"/>
      <x:c r="L183" s="36"/>
      <x:c r="M183" s="36"/>
      <x:c r="N183" s="41" t="str">
        <x:f>IF(A183="","",IF(M183="NO","EXCLUDED",IF(AND(COUNTIF($A$6:$A$305,A183)=1,M183="YES",OR(B183="EA",B183="EP"),C183&lt;&gt;"",OR(D183="BL",D183="PJ",D183="LK"),F183&lt;&gt;"",ISNUMBER(I183),J183="t CO2e",K183&lt;&gt;"",L183&lt;&gt;""),"COMPLETE","HOLD: INPUT / EVIDENCE")))</x:f>
      </x:c>
    </x:row>
    <x:row r="184" ht="23" customHeight="1">
      <x:c r="A184" s="38"/>
      <x:c r="B184" s="36"/>
      <x:c r="C184" s="36"/>
      <x:c r="D184" s="36"/>
      <x:c r="E184" s="36"/>
      <x:c r="F184" s="36"/>
      <x:c r="G184" s="36"/>
      <x:c r="H184" s="36"/>
      <x:c r="I184" s="41" t="str">
        <x:f>IF(A184="","",IF(COUNT(G184:H184)=2,G184*H184,""))</x:f>
      </x:c>
      <x:c r="J184" s="36"/>
      <x:c r="K184" s="36"/>
      <x:c r="L184" s="36"/>
      <x:c r="M184" s="36"/>
      <x:c r="N184" s="41" t="str">
        <x:f>IF(A184="","",IF(M184="NO","EXCLUDED",IF(AND(COUNTIF($A$6:$A$305,A184)=1,M184="YES",OR(B184="EA",B184="EP"),C184&lt;&gt;"",OR(D184="BL",D184="PJ",D184="LK"),F184&lt;&gt;"",ISNUMBER(I184),J184="t CO2e",K184&lt;&gt;"",L184&lt;&gt;""),"COMPLETE","HOLD: INPUT / EVIDENCE")))</x:f>
      </x:c>
    </x:row>
    <x:row r="185" ht="23" customHeight="1">
      <x:c r="A185" s="38"/>
      <x:c r="B185" s="36"/>
      <x:c r="C185" s="36"/>
      <x:c r="D185" s="36"/>
      <x:c r="E185" s="36"/>
      <x:c r="F185" s="36"/>
      <x:c r="G185" s="36"/>
      <x:c r="H185" s="36"/>
      <x:c r="I185" s="41" t="str">
        <x:f>IF(A185="","",IF(COUNT(G185:H185)=2,G185*H185,""))</x:f>
      </x:c>
      <x:c r="J185" s="36"/>
      <x:c r="K185" s="36"/>
      <x:c r="L185" s="36"/>
      <x:c r="M185" s="36"/>
      <x:c r="N185" s="41" t="str">
        <x:f>IF(A185="","",IF(M185="NO","EXCLUDED",IF(AND(COUNTIF($A$6:$A$305,A185)=1,M185="YES",OR(B185="EA",B185="EP"),C185&lt;&gt;"",OR(D185="BL",D185="PJ",D185="LK"),F185&lt;&gt;"",ISNUMBER(I185),J185="t CO2e",K185&lt;&gt;"",L185&lt;&gt;""),"COMPLETE","HOLD: INPUT / EVIDENCE")))</x:f>
      </x:c>
    </x:row>
    <x:row r="186" ht="23" customHeight="1">
      <x:c r="A186" s="38"/>
      <x:c r="B186" s="36"/>
      <x:c r="C186" s="36"/>
      <x:c r="D186" s="36"/>
      <x:c r="E186" s="36"/>
      <x:c r="F186" s="36"/>
      <x:c r="G186" s="36"/>
      <x:c r="H186" s="36"/>
      <x:c r="I186" s="41" t="str">
        <x:f>IF(A186="","",IF(COUNT(G186:H186)=2,G186*H186,""))</x:f>
      </x:c>
      <x:c r="J186" s="36"/>
      <x:c r="K186" s="36"/>
      <x:c r="L186" s="36"/>
      <x:c r="M186" s="36"/>
      <x:c r="N186" s="41" t="str">
        <x:f>IF(A186="","",IF(M186="NO","EXCLUDED",IF(AND(COUNTIF($A$6:$A$305,A186)=1,M186="YES",OR(B186="EA",B186="EP"),C186&lt;&gt;"",OR(D186="BL",D186="PJ",D186="LK"),F186&lt;&gt;"",ISNUMBER(I186),J186="t CO2e",K186&lt;&gt;"",L186&lt;&gt;""),"COMPLETE","HOLD: INPUT / EVIDENCE")))</x:f>
      </x:c>
    </x:row>
    <x:row r="187" ht="23" customHeight="1">
      <x:c r="A187" s="38"/>
      <x:c r="B187" s="36"/>
      <x:c r="C187" s="36"/>
      <x:c r="D187" s="36"/>
      <x:c r="E187" s="36"/>
      <x:c r="F187" s="36"/>
      <x:c r="G187" s="36"/>
      <x:c r="H187" s="36"/>
      <x:c r="I187" s="41" t="str">
        <x:f>IF(A187="","",IF(COUNT(G187:H187)=2,G187*H187,""))</x:f>
      </x:c>
      <x:c r="J187" s="36"/>
      <x:c r="K187" s="36"/>
      <x:c r="L187" s="36"/>
      <x:c r="M187" s="36"/>
      <x:c r="N187" s="41" t="str">
        <x:f>IF(A187="","",IF(M187="NO","EXCLUDED",IF(AND(COUNTIF($A$6:$A$305,A187)=1,M187="YES",OR(B187="EA",B187="EP"),C187&lt;&gt;"",OR(D187="BL",D187="PJ",D187="LK"),F187&lt;&gt;"",ISNUMBER(I187),J187="t CO2e",K187&lt;&gt;"",L187&lt;&gt;""),"COMPLETE","HOLD: INPUT / EVIDENCE")))</x:f>
      </x:c>
    </x:row>
    <x:row r="188" ht="23" customHeight="1">
      <x:c r="A188" s="38"/>
      <x:c r="B188" s="36"/>
      <x:c r="C188" s="36"/>
      <x:c r="D188" s="36"/>
      <x:c r="E188" s="36"/>
      <x:c r="F188" s="36"/>
      <x:c r="G188" s="36"/>
      <x:c r="H188" s="36"/>
      <x:c r="I188" s="41" t="str">
        <x:f>IF(A188="","",IF(COUNT(G188:H188)=2,G188*H188,""))</x:f>
      </x:c>
      <x:c r="J188" s="36"/>
      <x:c r="K188" s="36"/>
      <x:c r="L188" s="36"/>
      <x:c r="M188" s="36"/>
      <x:c r="N188" s="41" t="str">
        <x:f>IF(A188="","",IF(M188="NO","EXCLUDED",IF(AND(COUNTIF($A$6:$A$305,A188)=1,M188="YES",OR(B188="EA",B188="EP"),C188&lt;&gt;"",OR(D188="BL",D188="PJ",D188="LK"),F188&lt;&gt;"",ISNUMBER(I188),J188="t CO2e",K188&lt;&gt;"",L188&lt;&gt;""),"COMPLETE","HOLD: INPUT / EVIDENCE")))</x:f>
      </x:c>
    </x:row>
    <x:row r="189" ht="23" customHeight="1">
      <x:c r="A189" s="38"/>
      <x:c r="B189" s="36"/>
      <x:c r="C189" s="36"/>
      <x:c r="D189" s="36"/>
      <x:c r="E189" s="36"/>
      <x:c r="F189" s="36"/>
      <x:c r="G189" s="36"/>
      <x:c r="H189" s="36"/>
      <x:c r="I189" s="41" t="str">
        <x:f>IF(A189="","",IF(COUNT(G189:H189)=2,G189*H189,""))</x:f>
      </x:c>
      <x:c r="J189" s="36"/>
      <x:c r="K189" s="36"/>
      <x:c r="L189" s="36"/>
      <x:c r="M189" s="36"/>
      <x:c r="N189" s="41" t="str">
        <x:f>IF(A189="","",IF(M189="NO","EXCLUDED",IF(AND(COUNTIF($A$6:$A$305,A189)=1,M189="YES",OR(B189="EA",B189="EP"),C189&lt;&gt;"",OR(D189="BL",D189="PJ",D189="LK"),F189&lt;&gt;"",ISNUMBER(I189),J189="t CO2e",K189&lt;&gt;"",L189&lt;&gt;""),"COMPLETE","HOLD: INPUT / EVIDENCE")))</x:f>
      </x:c>
    </x:row>
    <x:row r="190" ht="23" customHeight="1">
      <x:c r="A190" s="38"/>
      <x:c r="B190" s="36"/>
      <x:c r="C190" s="36"/>
      <x:c r="D190" s="36"/>
      <x:c r="E190" s="36"/>
      <x:c r="F190" s="36"/>
      <x:c r="G190" s="36"/>
      <x:c r="H190" s="36"/>
      <x:c r="I190" s="41" t="str">
        <x:f>IF(A190="","",IF(COUNT(G190:H190)=2,G190*H190,""))</x:f>
      </x:c>
      <x:c r="J190" s="36"/>
      <x:c r="K190" s="36"/>
      <x:c r="L190" s="36"/>
      <x:c r="M190" s="36"/>
      <x:c r="N190" s="41" t="str">
        <x:f>IF(A190="","",IF(M190="NO","EXCLUDED",IF(AND(COUNTIF($A$6:$A$305,A190)=1,M190="YES",OR(B190="EA",B190="EP"),C190&lt;&gt;"",OR(D190="BL",D190="PJ",D190="LK"),F190&lt;&gt;"",ISNUMBER(I190),J190="t CO2e",K190&lt;&gt;"",L190&lt;&gt;""),"COMPLETE","HOLD: INPUT / EVIDENCE")))</x:f>
      </x:c>
    </x:row>
    <x:row r="191" ht="23" customHeight="1">
      <x:c r="A191" s="38"/>
      <x:c r="B191" s="36"/>
      <x:c r="C191" s="36"/>
      <x:c r="D191" s="36"/>
      <x:c r="E191" s="36"/>
      <x:c r="F191" s="36"/>
      <x:c r="G191" s="36"/>
      <x:c r="H191" s="36"/>
      <x:c r="I191" s="41" t="str">
        <x:f>IF(A191="","",IF(COUNT(G191:H191)=2,G191*H191,""))</x:f>
      </x:c>
      <x:c r="J191" s="36"/>
      <x:c r="K191" s="36"/>
      <x:c r="L191" s="36"/>
      <x:c r="M191" s="36"/>
      <x:c r="N191" s="41" t="str">
        <x:f>IF(A191="","",IF(M191="NO","EXCLUDED",IF(AND(COUNTIF($A$6:$A$305,A191)=1,M191="YES",OR(B191="EA",B191="EP"),C191&lt;&gt;"",OR(D191="BL",D191="PJ",D191="LK"),F191&lt;&gt;"",ISNUMBER(I191),J191="t CO2e",K191&lt;&gt;"",L191&lt;&gt;""),"COMPLETE","HOLD: INPUT / EVIDENCE")))</x:f>
      </x:c>
    </x:row>
    <x:row r="192" ht="23" customHeight="1">
      <x:c r="A192" s="38"/>
      <x:c r="B192" s="36"/>
      <x:c r="C192" s="36"/>
      <x:c r="D192" s="36"/>
      <x:c r="E192" s="36"/>
      <x:c r="F192" s="36"/>
      <x:c r="G192" s="36"/>
      <x:c r="H192" s="36"/>
      <x:c r="I192" s="41" t="str">
        <x:f>IF(A192="","",IF(COUNT(G192:H192)=2,G192*H192,""))</x:f>
      </x:c>
      <x:c r="J192" s="36"/>
      <x:c r="K192" s="36"/>
      <x:c r="L192" s="36"/>
      <x:c r="M192" s="36"/>
      <x:c r="N192" s="41" t="str">
        <x:f>IF(A192="","",IF(M192="NO","EXCLUDED",IF(AND(COUNTIF($A$6:$A$305,A192)=1,M192="YES",OR(B192="EA",B192="EP"),C192&lt;&gt;"",OR(D192="BL",D192="PJ",D192="LK"),F192&lt;&gt;"",ISNUMBER(I192),J192="t CO2e",K192&lt;&gt;"",L192&lt;&gt;""),"COMPLETE","HOLD: INPUT / EVIDENCE")))</x:f>
      </x:c>
    </x:row>
    <x:row r="193" ht="23" customHeight="1">
      <x:c r="A193" s="38"/>
      <x:c r="B193" s="36"/>
      <x:c r="C193" s="36"/>
      <x:c r="D193" s="36"/>
      <x:c r="E193" s="36"/>
      <x:c r="F193" s="36"/>
      <x:c r="G193" s="36"/>
      <x:c r="H193" s="36"/>
      <x:c r="I193" s="41" t="str">
        <x:f>IF(A193="","",IF(COUNT(G193:H193)=2,G193*H193,""))</x:f>
      </x:c>
      <x:c r="J193" s="36"/>
      <x:c r="K193" s="36"/>
      <x:c r="L193" s="36"/>
      <x:c r="M193" s="36"/>
      <x:c r="N193" s="41" t="str">
        <x:f>IF(A193="","",IF(M193="NO","EXCLUDED",IF(AND(COUNTIF($A$6:$A$305,A193)=1,M193="YES",OR(B193="EA",B193="EP"),C193&lt;&gt;"",OR(D193="BL",D193="PJ",D193="LK"),F193&lt;&gt;"",ISNUMBER(I193),J193="t CO2e",K193&lt;&gt;"",L193&lt;&gt;""),"COMPLETE","HOLD: INPUT / EVIDENCE")))</x:f>
      </x:c>
    </x:row>
    <x:row r="194" ht="23" customHeight="1">
      <x:c r="A194" s="38"/>
      <x:c r="B194" s="36"/>
      <x:c r="C194" s="36"/>
      <x:c r="D194" s="36"/>
      <x:c r="E194" s="36"/>
      <x:c r="F194" s="36"/>
      <x:c r="G194" s="36"/>
      <x:c r="H194" s="36"/>
      <x:c r="I194" s="41" t="str">
        <x:f>IF(A194="","",IF(COUNT(G194:H194)=2,G194*H194,""))</x:f>
      </x:c>
      <x:c r="J194" s="36"/>
      <x:c r="K194" s="36"/>
      <x:c r="L194" s="36"/>
      <x:c r="M194" s="36"/>
      <x:c r="N194" s="41" t="str">
        <x:f>IF(A194="","",IF(M194="NO","EXCLUDED",IF(AND(COUNTIF($A$6:$A$305,A194)=1,M194="YES",OR(B194="EA",B194="EP"),C194&lt;&gt;"",OR(D194="BL",D194="PJ",D194="LK"),F194&lt;&gt;"",ISNUMBER(I194),J194="t CO2e",K194&lt;&gt;"",L194&lt;&gt;""),"COMPLETE","HOLD: INPUT / EVIDENCE")))</x:f>
      </x:c>
    </x:row>
    <x:row r="195" ht="23" customHeight="1">
      <x:c r="A195" s="38"/>
      <x:c r="B195" s="36"/>
      <x:c r="C195" s="36"/>
      <x:c r="D195" s="36"/>
      <x:c r="E195" s="36"/>
      <x:c r="F195" s="36"/>
      <x:c r="G195" s="36"/>
      <x:c r="H195" s="36"/>
      <x:c r="I195" s="41" t="str">
        <x:f>IF(A195="","",IF(COUNT(G195:H195)=2,G195*H195,""))</x:f>
      </x:c>
      <x:c r="J195" s="36"/>
      <x:c r="K195" s="36"/>
      <x:c r="L195" s="36"/>
      <x:c r="M195" s="36"/>
      <x:c r="N195" s="41" t="str">
        <x:f>IF(A195="","",IF(M195="NO","EXCLUDED",IF(AND(COUNTIF($A$6:$A$305,A195)=1,M195="YES",OR(B195="EA",B195="EP"),C195&lt;&gt;"",OR(D195="BL",D195="PJ",D195="LK"),F195&lt;&gt;"",ISNUMBER(I195),J195="t CO2e",K195&lt;&gt;"",L195&lt;&gt;""),"COMPLETE","HOLD: INPUT / EVIDENCE")))</x:f>
      </x:c>
    </x:row>
    <x:row r="196" ht="23" customHeight="1">
      <x:c r="A196" s="38"/>
      <x:c r="B196" s="36"/>
      <x:c r="C196" s="36"/>
      <x:c r="D196" s="36"/>
      <x:c r="E196" s="36"/>
      <x:c r="F196" s="36"/>
      <x:c r="G196" s="36"/>
      <x:c r="H196" s="36"/>
      <x:c r="I196" s="41" t="str">
        <x:f>IF(A196="","",IF(COUNT(G196:H196)=2,G196*H196,""))</x:f>
      </x:c>
      <x:c r="J196" s="36"/>
      <x:c r="K196" s="36"/>
      <x:c r="L196" s="36"/>
      <x:c r="M196" s="36"/>
      <x:c r="N196" s="41" t="str">
        <x:f>IF(A196="","",IF(M196="NO","EXCLUDED",IF(AND(COUNTIF($A$6:$A$305,A196)=1,M196="YES",OR(B196="EA",B196="EP"),C196&lt;&gt;"",OR(D196="BL",D196="PJ",D196="LK"),F196&lt;&gt;"",ISNUMBER(I196),J196="t CO2e",K196&lt;&gt;"",L196&lt;&gt;""),"COMPLETE","HOLD: INPUT / EVIDENCE")))</x:f>
      </x:c>
    </x:row>
    <x:row r="197" ht="23" customHeight="1">
      <x:c r="A197" s="38"/>
      <x:c r="B197" s="36"/>
      <x:c r="C197" s="36"/>
      <x:c r="D197" s="36"/>
      <x:c r="E197" s="36"/>
      <x:c r="F197" s="36"/>
      <x:c r="G197" s="36"/>
      <x:c r="H197" s="36"/>
      <x:c r="I197" s="41" t="str">
        <x:f>IF(A197="","",IF(COUNT(G197:H197)=2,G197*H197,""))</x:f>
      </x:c>
      <x:c r="J197" s="36"/>
      <x:c r="K197" s="36"/>
      <x:c r="L197" s="36"/>
      <x:c r="M197" s="36"/>
      <x:c r="N197" s="41" t="str">
        <x:f>IF(A197="","",IF(M197="NO","EXCLUDED",IF(AND(COUNTIF($A$6:$A$305,A197)=1,M197="YES",OR(B197="EA",B197="EP"),C197&lt;&gt;"",OR(D197="BL",D197="PJ",D197="LK"),F197&lt;&gt;"",ISNUMBER(I197),J197="t CO2e",K197&lt;&gt;"",L197&lt;&gt;""),"COMPLETE","HOLD: INPUT / EVIDENCE")))</x:f>
      </x:c>
    </x:row>
    <x:row r="198" ht="23" customHeight="1">
      <x:c r="A198" s="38"/>
      <x:c r="B198" s="36"/>
      <x:c r="C198" s="36"/>
      <x:c r="D198" s="36"/>
      <x:c r="E198" s="36"/>
      <x:c r="F198" s="36"/>
      <x:c r="G198" s="36"/>
      <x:c r="H198" s="36"/>
      <x:c r="I198" s="41" t="str">
        <x:f>IF(A198="","",IF(COUNT(G198:H198)=2,G198*H198,""))</x:f>
      </x:c>
      <x:c r="J198" s="36"/>
      <x:c r="K198" s="36"/>
      <x:c r="L198" s="36"/>
      <x:c r="M198" s="36"/>
      <x:c r="N198" s="41" t="str">
        <x:f>IF(A198="","",IF(M198="NO","EXCLUDED",IF(AND(COUNTIF($A$6:$A$305,A198)=1,M198="YES",OR(B198="EA",B198="EP"),C198&lt;&gt;"",OR(D198="BL",D198="PJ",D198="LK"),F198&lt;&gt;"",ISNUMBER(I198),J198="t CO2e",K198&lt;&gt;"",L198&lt;&gt;""),"COMPLETE","HOLD: INPUT / EVIDENCE")))</x:f>
      </x:c>
    </x:row>
    <x:row r="199" ht="23" customHeight="1">
      <x:c r="A199" s="38"/>
      <x:c r="B199" s="36"/>
      <x:c r="C199" s="36"/>
      <x:c r="D199" s="36"/>
      <x:c r="E199" s="36"/>
      <x:c r="F199" s="36"/>
      <x:c r="G199" s="36"/>
      <x:c r="H199" s="36"/>
      <x:c r="I199" s="41" t="str">
        <x:f>IF(A199="","",IF(COUNT(G199:H199)=2,G199*H199,""))</x:f>
      </x:c>
      <x:c r="J199" s="36"/>
      <x:c r="K199" s="36"/>
      <x:c r="L199" s="36"/>
      <x:c r="M199" s="36"/>
      <x:c r="N199" s="41" t="str">
        <x:f>IF(A199="","",IF(M199="NO","EXCLUDED",IF(AND(COUNTIF($A$6:$A$305,A199)=1,M199="YES",OR(B199="EA",B199="EP"),C199&lt;&gt;"",OR(D199="BL",D199="PJ",D199="LK"),F199&lt;&gt;"",ISNUMBER(I199),J199="t CO2e",K199&lt;&gt;"",L199&lt;&gt;""),"COMPLETE","HOLD: INPUT / EVIDENCE")))</x:f>
      </x:c>
    </x:row>
    <x:row r="200" ht="23" customHeight="1">
      <x:c r="A200" s="38"/>
      <x:c r="B200" s="36"/>
      <x:c r="C200" s="36"/>
      <x:c r="D200" s="36"/>
      <x:c r="E200" s="36"/>
      <x:c r="F200" s="36"/>
      <x:c r="G200" s="36"/>
      <x:c r="H200" s="36"/>
      <x:c r="I200" s="41" t="str">
        <x:f>IF(A200="","",IF(COUNT(G200:H200)=2,G200*H200,""))</x:f>
      </x:c>
      <x:c r="J200" s="36"/>
      <x:c r="K200" s="36"/>
      <x:c r="L200" s="36"/>
      <x:c r="M200" s="36"/>
      <x:c r="N200" s="41" t="str">
        <x:f>IF(A200="","",IF(M200="NO","EXCLUDED",IF(AND(COUNTIF($A$6:$A$305,A200)=1,M200="YES",OR(B200="EA",B200="EP"),C200&lt;&gt;"",OR(D200="BL",D200="PJ",D200="LK"),F200&lt;&gt;"",ISNUMBER(I200),J200="t CO2e",K200&lt;&gt;"",L200&lt;&gt;""),"COMPLETE","HOLD: INPUT / EVIDENCE")))</x:f>
      </x:c>
    </x:row>
    <x:row r="201" ht="23" customHeight="1">
      <x:c r="A201" s="38"/>
      <x:c r="B201" s="36"/>
      <x:c r="C201" s="36"/>
      <x:c r="D201" s="36"/>
      <x:c r="E201" s="36"/>
      <x:c r="F201" s="36"/>
      <x:c r="G201" s="36"/>
      <x:c r="H201" s="36"/>
      <x:c r="I201" s="41" t="str">
        <x:f>IF(A201="","",IF(COUNT(G201:H201)=2,G201*H201,""))</x:f>
      </x:c>
      <x:c r="J201" s="36"/>
      <x:c r="K201" s="36"/>
      <x:c r="L201" s="36"/>
      <x:c r="M201" s="36"/>
      <x:c r="N201" s="41" t="str">
        <x:f>IF(A201="","",IF(M201="NO","EXCLUDED",IF(AND(COUNTIF($A$6:$A$305,A201)=1,M201="YES",OR(B201="EA",B201="EP"),C201&lt;&gt;"",OR(D201="BL",D201="PJ",D201="LK"),F201&lt;&gt;"",ISNUMBER(I201),J201="t CO2e",K201&lt;&gt;"",L201&lt;&gt;""),"COMPLETE","HOLD: INPUT / EVIDENCE")))</x:f>
      </x:c>
    </x:row>
    <x:row r="202" ht="23" customHeight="1">
      <x:c r="A202" s="38"/>
      <x:c r="B202" s="36"/>
      <x:c r="C202" s="36"/>
      <x:c r="D202" s="36"/>
      <x:c r="E202" s="36"/>
      <x:c r="F202" s="36"/>
      <x:c r="G202" s="36"/>
      <x:c r="H202" s="36"/>
      <x:c r="I202" s="41" t="str">
        <x:f>IF(A202="","",IF(COUNT(G202:H202)=2,G202*H202,""))</x:f>
      </x:c>
      <x:c r="J202" s="36"/>
      <x:c r="K202" s="36"/>
      <x:c r="L202" s="36"/>
      <x:c r="M202" s="36"/>
      <x:c r="N202" s="41" t="str">
        <x:f>IF(A202="","",IF(M202="NO","EXCLUDED",IF(AND(COUNTIF($A$6:$A$305,A202)=1,M202="YES",OR(B202="EA",B202="EP"),C202&lt;&gt;"",OR(D202="BL",D202="PJ",D202="LK"),F202&lt;&gt;"",ISNUMBER(I202),J202="t CO2e",K202&lt;&gt;"",L202&lt;&gt;""),"COMPLETE","HOLD: INPUT / EVIDENCE")))</x:f>
      </x:c>
    </x:row>
    <x:row r="203" ht="23" customHeight="1">
      <x:c r="A203" s="38"/>
      <x:c r="B203" s="36"/>
      <x:c r="C203" s="36"/>
      <x:c r="D203" s="36"/>
      <x:c r="E203" s="36"/>
      <x:c r="F203" s="36"/>
      <x:c r="G203" s="36"/>
      <x:c r="H203" s="36"/>
      <x:c r="I203" s="41" t="str">
        <x:f>IF(A203="","",IF(COUNT(G203:H203)=2,G203*H203,""))</x:f>
      </x:c>
      <x:c r="J203" s="36"/>
      <x:c r="K203" s="36"/>
      <x:c r="L203" s="36"/>
      <x:c r="M203" s="36"/>
      <x:c r="N203" s="41" t="str">
        <x:f>IF(A203="","",IF(M203="NO","EXCLUDED",IF(AND(COUNTIF($A$6:$A$305,A203)=1,M203="YES",OR(B203="EA",B203="EP"),C203&lt;&gt;"",OR(D203="BL",D203="PJ",D203="LK"),F203&lt;&gt;"",ISNUMBER(I203),J203="t CO2e",K203&lt;&gt;"",L203&lt;&gt;""),"COMPLETE","HOLD: INPUT / EVIDENCE")))</x:f>
      </x:c>
    </x:row>
    <x:row r="204" ht="23" customHeight="1">
      <x:c r="A204" s="38"/>
      <x:c r="B204" s="36"/>
      <x:c r="C204" s="36"/>
      <x:c r="D204" s="36"/>
      <x:c r="E204" s="36"/>
      <x:c r="F204" s="36"/>
      <x:c r="G204" s="36"/>
      <x:c r="H204" s="36"/>
      <x:c r="I204" s="41" t="str">
        <x:f>IF(A204="","",IF(COUNT(G204:H204)=2,G204*H204,""))</x:f>
      </x:c>
      <x:c r="J204" s="36"/>
      <x:c r="K204" s="36"/>
      <x:c r="L204" s="36"/>
      <x:c r="M204" s="36"/>
      <x:c r="N204" s="41" t="str">
        <x:f>IF(A204="","",IF(M204="NO","EXCLUDED",IF(AND(COUNTIF($A$6:$A$305,A204)=1,M204="YES",OR(B204="EA",B204="EP"),C204&lt;&gt;"",OR(D204="BL",D204="PJ",D204="LK"),F204&lt;&gt;"",ISNUMBER(I204),J204="t CO2e",K204&lt;&gt;"",L204&lt;&gt;""),"COMPLETE","HOLD: INPUT / EVIDENCE")))</x:f>
      </x:c>
    </x:row>
    <x:row r="205" ht="23" customHeight="1">
      <x:c r="A205" s="38"/>
      <x:c r="B205" s="36"/>
      <x:c r="C205" s="36"/>
      <x:c r="D205" s="36"/>
      <x:c r="E205" s="36"/>
      <x:c r="F205" s="36"/>
      <x:c r="G205" s="36"/>
      <x:c r="H205" s="36"/>
      <x:c r="I205" s="41" t="str">
        <x:f>IF(A205="","",IF(COUNT(G205:H205)=2,G205*H205,""))</x:f>
      </x:c>
      <x:c r="J205" s="36"/>
      <x:c r="K205" s="36"/>
      <x:c r="L205" s="36"/>
      <x:c r="M205" s="36"/>
      <x:c r="N205" s="41" t="str">
        <x:f>IF(A205="","",IF(M205="NO","EXCLUDED",IF(AND(COUNTIF($A$6:$A$305,A205)=1,M205="YES",OR(B205="EA",B205="EP"),C205&lt;&gt;"",OR(D205="BL",D205="PJ",D205="LK"),F205&lt;&gt;"",ISNUMBER(I205),J205="t CO2e",K205&lt;&gt;"",L205&lt;&gt;""),"COMPLETE","HOLD: INPUT / EVIDENCE")))</x:f>
      </x:c>
    </x:row>
    <x:row r="206" ht="23" customHeight="1">
      <x:c r="A206" s="38"/>
      <x:c r="B206" s="36"/>
      <x:c r="C206" s="36"/>
      <x:c r="D206" s="36"/>
      <x:c r="E206" s="36"/>
      <x:c r="F206" s="36"/>
      <x:c r="G206" s="36"/>
      <x:c r="H206" s="36"/>
      <x:c r="I206" s="41" t="str">
        <x:f>IF(A206="","",IF(COUNT(G206:H206)=2,G206*H206,""))</x:f>
      </x:c>
      <x:c r="J206" s="36"/>
      <x:c r="K206" s="36"/>
      <x:c r="L206" s="36"/>
      <x:c r="M206" s="36"/>
      <x:c r="N206" s="41" t="str">
        <x:f>IF(A206="","",IF(M206="NO","EXCLUDED",IF(AND(COUNTIF($A$6:$A$305,A206)=1,M206="YES",OR(B206="EA",B206="EP"),C206&lt;&gt;"",OR(D206="BL",D206="PJ",D206="LK"),F206&lt;&gt;"",ISNUMBER(I206),J206="t CO2e",K206&lt;&gt;"",L206&lt;&gt;""),"COMPLETE","HOLD: INPUT / EVIDENCE")))</x:f>
      </x:c>
    </x:row>
    <x:row r="207" ht="23" customHeight="1">
      <x:c r="A207" s="38"/>
      <x:c r="B207" s="36"/>
      <x:c r="C207" s="36"/>
      <x:c r="D207" s="36"/>
      <x:c r="E207" s="36"/>
      <x:c r="F207" s="36"/>
      <x:c r="G207" s="36"/>
      <x:c r="H207" s="36"/>
      <x:c r="I207" s="41" t="str">
        <x:f>IF(A207="","",IF(COUNT(G207:H207)=2,G207*H207,""))</x:f>
      </x:c>
      <x:c r="J207" s="36"/>
      <x:c r="K207" s="36"/>
      <x:c r="L207" s="36"/>
      <x:c r="M207" s="36"/>
      <x:c r="N207" s="41" t="str">
        <x:f>IF(A207="","",IF(M207="NO","EXCLUDED",IF(AND(COUNTIF($A$6:$A$305,A207)=1,M207="YES",OR(B207="EA",B207="EP"),C207&lt;&gt;"",OR(D207="BL",D207="PJ",D207="LK"),F207&lt;&gt;"",ISNUMBER(I207),J207="t CO2e",K207&lt;&gt;"",L207&lt;&gt;""),"COMPLETE","HOLD: INPUT / EVIDENCE")))</x:f>
      </x:c>
    </x:row>
    <x:row r="208" ht="23" customHeight="1">
      <x:c r="A208" s="38"/>
      <x:c r="B208" s="36"/>
      <x:c r="C208" s="36"/>
      <x:c r="D208" s="36"/>
      <x:c r="E208" s="36"/>
      <x:c r="F208" s="36"/>
      <x:c r="G208" s="36"/>
      <x:c r="H208" s="36"/>
      <x:c r="I208" s="41" t="str">
        <x:f>IF(A208="","",IF(COUNT(G208:H208)=2,G208*H208,""))</x:f>
      </x:c>
      <x:c r="J208" s="36"/>
      <x:c r="K208" s="36"/>
      <x:c r="L208" s="36"/>
      <x:c r="M208" s="36"/>
      <x:c r="N208" s="41" t="str">
        <x:f>IF(A208="","",IF(M208="NO","EXCLUDED",IF(AND(COUNTIF($A$6:$A$305,A208)=1,M208="YES",OR(B208="EA",B208="EP"),C208&lt;&gt;"",OR(D208="BL",D208="PJ",D208="LK"),F208&lt;&gt;"",ISNUMBER(I208),J208="t CO2e",K208&lt;&gt;"",L208&lt;&gt;""),"COMPLETE","HOLD: INPUT / EVIDENCE")))</x:f>
      </x:c>
    </x:row>
    <x:row r="209" ht="23" customHeight="1">
      <x:c r="A209" s="38"/>
      <x:c r="B209" s="36"/>
      <x:c r="C209" s="36"/>
      <x:c r="D209" s="36"/>
      <x:c r="E209" s="36"/>
      <x:c r="F209" s="36"/>
      <x:c r="G209" s="36"/>
      <x:c r="H209" s="36"/>
      <x:c r="I209" s="41" t="str">
        <x:f>IF(A209="","",IF(COUNT(G209:H209)=2,G209*H209,""))</x:f>
      </x:c>
      <x:c r="J209" s="36"/>
      <x:c r="K209" s="36"/>
      <x:c r="L209" s="36"/>
      <x:c r="M209" s="36"/>
      <x:c r="N209" s="41" t="str">
        <x:f>IF(A209="","",IF(M209="NO","EXCLUDED",IF(AND(COUNTIF($A$6:$A$305,A209)=1,M209="YES",OR(B209="EA",B209="EP"),C209&lt;&gt;"",OR(D209="BL",D209="PJ",D209="LK"),F209&lt;&gt;"",ISNUMBER(I209),J209="t CO2e",K209&lt;&gt;"",L209&lt;&gt;""),"COMPLETE","HOLD: INPUT / EVIDENCE")))</x:f>
      </x:c>
    </x:row>
    <x:row r="210" ht="23" customHeight="1">
      <x:c r="A210" s="38"/>
      <x:c r="B210" s="36"/>
      <x:c r="C210" s="36"/>
      <x:c r="D210" s="36"/>
      <x:c r="E210" s="36"/>
      <x:c r="F210" s="36"/>
      <x:c r="G210" s="36"/>
      <x:c r="H210" s="36"/>
      <x:c r="I210" s="41" t="str">
        <x:f>IF(A210="","",IF(COUNT(G210:H210)=2,G210*H210,""))</x:f>
      </x:c>
      <x:c r="J210" s="36"/>
      <x:c r="K210" s="36"/>
      <x:c r="L210" s="36"/>
      <x:c r="M210" s="36"/>
      <x:c r="N210" s="41" t="str">
        <x:f>IF(A210="","",IF(M210="NO","EXCLUDED",IF(AND(COUNTIF($A$6:$A$305,A210)=1,M210="YES",OR(B210="EA",B210="EP"),C210&lt;&gt;"",OR(D210="BL",D210="PJ",D210="LK"),F210&lt;&gt;"",ISNUMBER(I210),J210="t CO2e",K210&lt;&gt;"",L210&lt;&gt;""),"COMPLETE","HOLD: INPUT / EVIDENCE")))</x:f>
      </x:c>
    </x:row>
    <x:row r="211" ht="23" customHeight="1">
      <x:c r="A211" s="38"/>
      <x:c r="B211" s="36"/>
      <x:c r="C211" s="36"/>
      <x:c r="D211" s="36"/>
      <x:c r="E211" s="36"/>
      <x:c r="F211" s="36"/>
      <x:c r="G211" s="36"/>
      <x:c r="H211" s="36"/>
      <x:c r="I211" s="41" t="str">
        <x:f>IF(A211="","",IF(COUNT(G211:H211)=2,G211*H211,""))</x:f>
      </x:c>
      <x:c r="J211" s="36"/>
      <x:c r="K211" s="36"/>
      <x:c r="L211" s="36"/>
      <x:c r="M211" s="36"/>
      <x:c r="N211" s="41" t="str">
        <x:f>IF(A211="","",IF(M211="NO","EXCLUDED",IF(AND(COUNTIF($A$6:$A$305,A211)=1,M211="YES",OR(B211="EA",B211="EP"),C211&lt;&gt;"",OR(D211="BL",D211="PJ",D211="LK"),F211&lt;&gt;"",ISNUMBER(I211),J211="t CO2e",K211&lt;&gt;"",L211&lt;&gt;""),"COMPLETE","HOLD: INPUT / EVIDENCE")))</x:f>
      </x:c>
    </x:row>
    <x:row r="212" ht="23" customHeight="1">
      <x:c r="A212" s="38"/>
      <x:c r="B212" s="36"/>
      <x:c r="C212" s="36"/>
      <x:c r="D212" s="36"/>
      <x:c r="E212" s="36"/>
      <x:c r="F212" s="36"/>
      <x:c r="G212" s="36"/>
      <x:c r="H212" s="36"/>
      <x:c r="I212" s="41" t="str">
        <x:f>IF(A212="","",IF(COUNT(G212:H212)=2,G212*H212,""))</x:f>
      </x:c>
      <x:c r="J212" s="36"/>
      <x:c r="K212" s="36"/>
      <x:c r="L212" s="36"/>
      <x:c r="M212" s="36"/>
      <x:c r="N212" s="41" t="str">
        <x:f>IF(A212="","",IF(M212="NO","EXCLUDED",IF(AND(COUNTIF($A$6:$A$305,A212)=1,M212="YES",OR(B212="EA",B212="EP"),C212&lt;&gt;"",OR(D212="BL",D212="PJ",D212="LK"),F212&lt;&gt;"",ISNUMBER(I212),J212="t CO2e",K212&lt;&gt;"",L212&lt;&gt;""),"COMPLETE","HOLD: INPUT / EVIDENCE")))</x:f>
      </x:c>
    </x:row>
    <x:row r="213" ht="23" customHeight="1">
      <x:c r="A213" s="38"/>
      <x:c r="B213" s="36"/>
      <x:c r="C213" s="36"/>
      <x:c r="D213" s="36"/>
      <x:c r="E213" s="36"/>
      <x:c r="F213" s="36"/>
      <x:c r="G213" s="36"/>
      <x:c r="H213" s="36"/>
      <x:c r="I213" s="41" t="str">
        <x:f>IF(A213="","",IF(COUNT(G213:H213)=2,G213*H213,""))</x:f>
      </x:c>
      <x:c r="J213" s="36"/>
      <x:c r="K213" s="36"/>
      <x:c r="L213" s="36"/>
      <x:c r="M213" s="36"/>
      <x:c r="N213" s="41" t="str">
        <x:f>IF(A213="","",IF(M213="NO","EXCLUDED",IF(AND(COUNTIF($A$6:$A$305,A213)=1,M213="YES",OR(B213="EA",B213="EP"),C213&lt;&gt;"",OR(D213="BL",D213="PJ",D213="LK"),F213&lt;&gt;"",ISNUMBER(I213),J213="t CO2e",K213&lt;&gt;"",L213&lt;&gt;""),"COMPLETE","HOLD: INPUT / EVIDENCE")))</x:f>
      </x:c>
    </x:row>
    <x:row r="214" ht="23" customHeight="1">
      <x:c r="A214" s="38"/>
      <x:c r="B214" s="36"/>
      <x:c r="C214" s="36"/>
      <x:c r="D214" s="36"/>
      <x:c r="E214" s="36"/>
      <x:c r="F214" s="36"/>
      <x:c r="G214" s="36"/>
      <x:c r="H214" s="36"/>
      <x:c r="I214" s="41" t="str">
        <x:f>IF(A214="","",IF(COUNT(G214:H214)=2,G214*H214,""))</x:f>
      </x:c>
      <x:c r="J214" s="36"/>
      <x:c r="K214" s="36"/>
      <x:c r="L214" s="36"/>
      <x:c r="M214" s="36"/>
      <x:c r="N214" s="41" t="str">
        <x:f>IF(A214="","",IF(M214="NO","EXCLUDED",IF(AND(COUNTIF($A$6:$A$305,A214)=1,M214="YES",OR(B214="EA",B214="EP"),C214&lt;&gt;"",OR(D214="BL",D214="PJ",D214="LK"),F214&lt;&gt;"",ISNUMBER(I214),J214="t CO2e",K214&lt;&gt;"",L214&lt;&gt;""),"COMPLETE","HOLD: INPUT / EVIDENCE")))</x:f>
      </x:c>
    </x:row>
    <x:row r="215" ht="23" customHeight="1">
      <x:c r="A215" s="38"/>
      <x:c r="B215" s="36"/>
      <x:c r="C215" s="36"/>
      <x:c r="D215" s="36"/>
      <x:c r="E215" s="36"/>
      <x:c r="F215" s="36"/>
      <x:c r="G215" s="36"/>
      <x:c r="H215" s="36"/>
      <x:c r="I215" s="41" t="str">
        <x:f>IF(A215="","",IF(COUNT(G215:H215)=2,G215*H215,""))</x:f>
      </x:c>
      <x:c r="J215" s="36"/>
      <x:c r="K215" s="36"/>
      <x:c r="L215" s="36"/>
      <x:c r="M215" s="36"/>
      <x:c r="N215" s="41" t="str">
        <x:f>IF(A215="","",IF(M215="NO","EXCLUDED",IF(AND(COUNTIF($A$6:$A$305,A215)=1,M215="YES",OR(B215="EA",B215="EP"),C215&lt;&gt;"",OR(D215="BL",D215="PJ",D215="LK"),F215&lt;&gt;"",ISNUMBER(I215),J215="t CO2e",K215&lt;&gt;"",L215&lt;&gt;""),"COMPLETE","HOLD: INPUT / EVIDENCE")))</x:f>
      </x:c>
    </x:row>
    <x:row r="216" ht="23" customHeight="1">
      <x:c r="A216" s="38"/>
      <x:c r="B216" s="36"/>
      <x:c r="C216" s="36"/>
      <x:c r="D216" s="36"/>
      <x:c r="E216" s="36"/>
      <x:c r="F216" s="36"/>
      <x:c r="G216" s="36"/>
      <x:c r="H216" s="36"/>
      <x:c r="I216" s="41" t="str">
        <x:f>IF(A216="","",IF(COUNT(G216:H216)=2,G216*H216,""))</x:f>
      </x:c>
      <x:c r="J216" s="36"/>
      <x:c r="K216" s="36"/>
      <x:c r="L216" s="36"/>
      <x:c r="M216" s="36"/>
      <x:c r="N216" s="41" t="str">
        <x:f>IF(A216="","",IF(M216="NO","EXCLUDED",IF(AND(COUNTIF($A$6:$A$305,A216)=1,M216="YES",OR(B216="EA",B216="EP"),C216&lt;&gt;"",OR(D216="BL",D216="PJ",D216="LK"),F216&lt;&gt;"",ISNUMBER(I216),J216="t CO2e",K216&lt;&gt;"",L216&lt;&gt;""),"COMPLETE","HOLD: INPUT / EVIDENCE")))</x:f>
      </x:c>
    </x:row>
    <x:row r="217" ht="23" customHeight="1">
      <x:c r="A217" s="38"/>
      <x:c r="B217" s="36"/>
      <x:c r="C217" s="36"/>
      <x:c r="D217" s="36"/>
      <x:c r="E217" s="36"/>
      <x:c r="F217" s="36"/>
      <x:c r="G217" s="36"/>
      <x:c r="H217" s="36"/>
      <x:c r="I217" s="41" t="str">
        <x:f>IF(A217="","",IF(COUNT(G217:H217)=2,G217*H217,""))</x:f>
      </x:c>
      <x:c r="J217" s="36"/>
      <x:c r="K217" s="36"/>
      <x:c r="L217" s="36"/>
      <x:c r="M217" s="36"/>
      <x:c r="N217" s="41" t="str">
        <x:f>IF(A217="","",IF(M217="NO","EXCLUDED",IF(AND(COUNTIF($A$6:$A$305,A217)=1,M217="YES",OR(B217="EA",B217="EP"),C217&lt;&gt;"",OR(D217="BL",D217="PJ",D217="LK"),F217&lt;&gt;"",ISNUMBER(I217),J217="t CO2e",K217&lt;&gt;"",L217&lt;&gt;""),"COMPLETE","HOLD: INPUT / EVIDENCE")))</x:f>
      </x:c>
    </x:row>
    <x:row r="218" ht="23" customHeight="1">
      <x:c r="A218" s="38"/>
      <x:c r="B218" s="36"/>
      <x:c r="C218" s="36"/>
      <x:c r="D218" s="36"/>
      <x:c r="E218" s="36"/>
      <x:c r="F218" s="36"/>
      <x:c r="G218" s="36"/>
      <x:c r="H218" s="36"/>
      <x:c r="I218" s="41" t="str">
        <x:f>IF(A218="","",IF(COUNT(G218:H218)=2,G218*H218,""))</x:f>
      </x:c>
      <x:c r="J218" s="36"/>
      <x:c r="K218" s="36"/>
      <x:c r="L218" s="36"/>
      <x:c r="M218" s="36"/>
      <x:c r="N218" s="41" t="str">
        <x:f>IF(A218="","",IF(M218="NO","EXCLUDED",IF(AND(COUNTIF($A$6:$A$305,A218)=1,M218="YES",OR(B218="EA",B218="EP"),C218&lt;&gt;"",OR(D218="BL",D218="PJ",D218="LK"),F218&lt;&gt;"",ISNUMBER(I218),J218="t CO2e",K218&lt;&gt;"",L218&lt;&gt;""),"COMPLETE","HOLD: INPUT / EVIDENCE")))</x:f>
      </x:c>
    </x:row>
    <x:row r="219" ht="23" customHeight="1">
      <x:c r="A219" s="38"/>
      <x:c r="B219" s="36"/>
      <x:c r="C219" s="36"/>
      <x:c r="D219" s="36"/>
      <x:c r="E219" s="36"/>
      <x:c r="F219" s="36"/>
      <x:c r="G219" s="36"/>
      <x:c r="H219" s="36"/>
      <x:c r="I219" s="41" t="str">
        <x:f>IF(A219="","",IF(COUNT(G219:H219)=2,G219*H219,""))</x:f>
      </x:c>
      <x:c r="J219" s="36"/>
      <x:c r="K219" s="36"/>
      <x:c r="L219" s="36"/>
      <x:c r="M219" s="36"/>
      <x:c r="N219" s="41" t="str">
        <x:f>IF(A219="","",IF(M219="NO","EXCLUDED",IF(AND(COUNTIF($A$6:$A$305,A219)=1,M219="YES",OR(B219="EA",B219="EP"),C219&lt;&gt;"",OR(D219="BL",D219="PJ",D219="LK"),F219&lt;&gt;"",ISNUMBER(I219),J219="t CO2e",K219&lt;&gt;"",L219&lt;&gt;""),"COMPLETE","HOLD: INPUT / EVIDENCE")))</x:f>
      </x:c>
    </x:row>
    <x:row r="220" ht="23" customHeight="1">
      <x:c r="A220" s="38"/>
      <x:c r="B220" s="36"/>
      <x:c r="C220" s="36"/>
      <x:c r="D220" s="36"/>
      <x:c r="E220" s="36"/>
      <x:c r="F220" s="36"/>
      <x:c r="G220" s="36"/>
      <x:c r="H220" s="36"/>
      <x:c r="I220" s="41" t="str">
        <x:f>IF(A220="","",IF(COUNT(G220:H220)=2,G220*H220,""))</x:f>
      </x:c>
      <x:c r="J220" s="36"/>
      <x:c r="K220" s="36"/>
      <x:c r="L220" s="36"/>
      <x:c r="M220" s="36"/>
      <x:c r="N220" s="41" t="str">
        <x:f>IF(A220="","",IF(M220="NO","EXCLUDED",IF(AND(COUNTIF($A$6:$A$305,A220)=1,M220="YES",OR(B220="EA",B220="EP"),C220&lt;&gt;"",OR(D220="BL",D220="PJ",D220="LK"),F220&lt;&gt;"",ISNUMBER(I220),J220="t CO2e",K220&lt;&gt;"",L220&lt;&gt;""),"COMPLETE","HOLD: INPUT / EVIDENCE")))</x:f>
      </x:c>
    </x:row>
    <x:row r="221" ht="23" customHeight="1">
      <x:c r="A221" s="38"/>
      <x:c r="B221" s="36"/>
      <x:c r="C221" s="36"/>
      <x:c r="D221" s="36"/>
      <x:c r="E221" s="36"/>
      <x:c r="F221" s="36"/>
      <x:c r="G221" s="36"/>
      <x:c r="H221" s="36"/>
      <x:c r="I221" s="41" t="str">
        <x:f>IF(A221="","",IF(COUNT(G221:H221)=2,G221*H221,""))</x:f>
      </x:c>
      <x:c r="J221" s="36"/>
      <x:c r="K221" s="36"/>
      <x:c r="L221" s="36"/>
      <x:c r="M221" s="36"/>
      <x:c r="N221" s="41" t="str">
        <x:f>IF(A221="","",IF(M221="NO","EXCLUDED",IF(AND(COUNTIF($A$6:$A$305,A221)=1,M221="YES",OR(B221="EA",B221="EP"),C221&lt;&gt;"",OR(D221="BL",D221="PJ",D221="LK"),F221&lt;&gt;"",ISNUMBER(I221),J221="t CO2e",K221&lt;&gt;"",L221&lt;&gt;""),"COMPLETE","HOLD: INPUT / EVIDENCE")))</x:f>
      </x:c>
    </x:row>
    <x:row r="222" ht="23" customHeight="1">
      <x:c r="A222" s="38"/>
      <x:c r="B222" s="36"/>
      <x:c r="C222" s="36"/>
      <x:c r="D222" s="36"/>
      <x:c r="E222" s="36"/>
      <x:c r="F222" s="36"/>
      <x:c r="G222" s="36"/>
      <x:c r="H222" s="36"/>
      <x:c r="I222" s="41" t="str">
        <x:f>IF(A222="","",IF(COUNT(G222:H222)=2,G222*H222,""))</x:f>
      </x:c>
      <x:c r="J222" s="36"/>
      <x:c r="K222" s="36"/>
      <x:c r="L222" s="36"/>
      <x:c r="M222" s="36"/>
      <x:c r="N222" s="41" t="str">
        <x:f>IF(A222="","",IF(M222="NO","EXCLUDED",IF(AND(COUNTIF($A$6:$A$305,A222)=1,M222="YES",OR(B222="EA",B222="EP"),C222&lt;&gt;"",OR(D222="BL",D222="PJ",D222="LK"),F222&lt;&gt;"",ISNUMBER(I222),J222="t CO2e",K222&lt;&gt;"",L222&lt;&gt;""),"COMPLETE","HOLD: INPUT / EVIDENCE")))</x:f>
      </x:c>
    </x:row>
    <x:row r="223" ht="23" customHeight="1">
      <x:c r="A223" s="38"/>
      <x:c r="B223" s="36"/>
      <x:c r="C223" s="36"/>
      <x:c r="D223" s="36"/>
      <x:c r="E223" s="36"/>
      <x:c r="F223" s="36"/>
      <x:c r="G223" s="36"/>
      <x:c r="H223" s="36"/>
      <x:c r="I223" s="41" t="str">
        <x:f>IF(A223="","",IF(COUNT(G223:H223)=2,G223*H223,""))</x:f>
      </x:c>
      <x:c r="J223" s="36"/>
      <x:c r="K223" s="36"/>
      <x:c r="L223" s="36"/>
      <x:c r="M223" s="36"/>
      <x:c r="N223" s="41" t="str">
        <x:f>IF(A223="","",IF(M223="NO","EXCLUDED",IF(AND(COUNTIF($A$6:$A$305,A223)=1,M223="YES",OR(B223="EA",B223="EP"),C223&lt;&gt;"",OR(D223="BL",D223="PJ",D223="LK"),F223&lt;&gt;"",ISNUMBER(I223),J223="t CO2e",K223&lt;&gt;"",L223&lt;&gt;""),"COMPLETE","HOLD: INPUT / EVIDENCE")))</x:f>
      </x:c>
    </x:row>
    <x:row r="224" ht="23" customHeight="1">
      <x:c r="A224" s="38"/>
      <x:c r="B224" s="36"/>
      <x:c r="C224" s="36"/>
      <x:c r="D224" s="36"/>
      <x:c r="E224" s="36"/>
      <x:c r="F224" s="36"/>
      <x:c r="G224" s="36"/>
      <x:c r="H224" s="36"/>
      <x:c r="I224" s="41" t="str">
        <x:f>IF(A224="","",IF(COUNT(G224:H224)=2,G224*H224,""))</x:f>
      </x:c>
      <x:c r="J224" s="36"/>
      <x:c r="K224" s="36"/>
      <x:c r="L224" s="36"/>
      <x:c r="M224" s="36"/>
      <x:c r="N224" s="41" t="str">
        <x:f>IF(A224="","",IF(M224="NO","EXCLUDED",IF(AND(COUNTIF($A$6:$A$305,A224)=1,M224="YES",OR(B224="EA",B224="EP"),C224&lt;&gt;"",OR(D224="BL",D224="PJ",D224="LK"),F224&lt;&gt;"",ISNUMBER(I224),J224="t CO2e",K224&lt;&gt;"",L224&lt;&gt;""),"COMPLETE","HOLD: INPUT / EVIDENCE")))</x:f>
      </x:c>
    </x:row>
    <x:row r="225" ht="23" customHeight="1">
      <x:c r="A225" s="38"/>
      <x:c r="B225" s="36"/>
      <x:c r="C225" s="36"/>
      <x:c r="D225" s="36"/>
      <x:c r="E225" s="36"/>
      <x:c r="F225" s="36"/>
      <x:c r="G225" s="36"/>
      <x:c r="H225" s="36"/>
      <x:c r="I225" s="41" t="str">
        <x:f>IF(A225="","",IF(COUNT(G225:H225)=2,G225*H225,""))</x:f>
      </x:c>
      <x:c r="J225" s="36"/>
      <x:c r="K225" s="36"/>
      <x:c r="L225" s="36"/>
      <x:c r="M225" s="36"/>
      <x:c r="N225" s="41" t="str">
        <x:f>IF(A225="","",IF(M225="NO","EXCLUDED",IF(AND(COUNTIF($A$6:$A$305,A225)=1,M225="YES",OR(B225="EA",B225="EP"),C225&lt;&gt;"",OR(D225="BL",D225="PJ",D225="LK"),F225&lt;&gt;"",ISNUMBER(I225),J225="t CO2e",K225&lt;&gt;"",L225&lt;&gt;""),"COMPLETE","HOLD: INPUT / EVIDENCE")))</x:f>
      </x:c>
    </x:row>
    <x:row r="226" ht="23" customHeight="1">
      <x:c r="A226" s="38"/>
      <x:c r="B226" s="36"/>
      <x:c r="C226" s="36"/>
      <x:c r="D226" s="36"/>
      <x:c r="E226" s="36"/>
      <x:c r="F226" s="36"/>
      <x:c r="G226" s="36"/>
      <x:c r="H226" s="36"/>
      <x:c r="I226" s="41" t="str">
        <x:f>IF(A226="","",IF(COUNT(G226:H226)=2,G226*H226,""))</x:f>
      </x:c>
      <x:c r="J226" s="36"/>
      <x:c r="K226" s="36"/>
      <x:c r="L226" s="36"/>
      <x:c r="M226" s="36"/>
      <x:c r="N226" s="41" t="str">
        <x:f>IF(A226="","",IF(M226="NO","EXCLUDED",IF(AND(COUNTIF($A$6:$A$305,A226)=1,M226="YES",OR(B226="EA",B226="EP"),C226&lt;&gt;"",OR(D226="BL",D226="PJ",D226="LK"),F226&lt;&gt;"",ISNUMBER(I226),J226="t CO2e",K226&lt;&gt;"",L226&lt;&gt;""),"COMPLETE","HOLD: INPUT / EVIDENCE")))</x:f>
      </x:c>
    </x:row>
    <x:row r="227" ht="23" customHeight="1">
      <x:c r="A227" s="38"/>
      <x:c r="B227" s="36"/>
      <x:c r="C227" s="36"/>
      <x:c r="D227" s="36"/>
      <x:c r="E227" s="36"/>
      <x:c r="F227" s="36"/>
      <x:c r="G227" s="36"/>
      <x:c r="H227" s="36"/>
      <x:c r="I227" s="41" t="str">
        <x:f>IF(A227="","",IF(COUNT(G227:H227)=2,G227*H227,""))</x:f>
      </x:c>
      <x:c r="J227" s="36"/>
      <x:c r="K227" s="36"/>
      <x:c r="L227" s="36"/>
      <x:c r="M227" s="36"/>
      <x:c r="N227" s="41" t="str">
        <x:f>IF(A227="","",IF(M227="NO","EXCLUDED",IF(AND(COUNTIF($A$6:$A$305,A227)=1,M227="YES",OR(B227="EA",B227="EP"),C227&lt;&gt;"",OR(D227="BL",D227="PJ",D227="LK"),F227&lt;&gt;"",ISNUMBER(I227),J227="t CO2e",K227&lt;&gt;"",L227&lt;&gt;""),"COMPLETE","HOLD: INPUT / EVIDENCE")))</x:f>
      </x:c>
    </x:row>
    <x:row r="228" ht="23" customHeight="1">
      <x:c r="A228" s="38"/>
      <x:c r="B228" s="36"/>
      <x:c r="C228" s="36"/>
      <x:c r="D228" s="36"/>
      <x:c r="E228" s="36"/>
      <x:c r="F228" s="36"/>
      <x:c r="G228" s="36"/>
      <x:c r="H228" s="36"/>
      <x:c r="I228" s="41" t="str">
        <x:f>IF(A228="","",IF(COUNT(G228:H228)=2,G228*H228,""))</x:f>
      </x:c>
      <x:c r="J228" s="36"/>
      <x:c r="K228" s="36"/>
      <x:c r="L228" s="36"/>
      <x:c r="M228" s="36"/>
      <x:c r="N228" s="41" t="str">
        <x:f>IF(A228="","",IF(M228="NO","EXCLUDED",IF(AND(COUNTIF($A$6:$A$305,A228)=1,M228="YES",OR(B228="EA",B228="EP"),C228&lt;&gt;"",OR(D228="BL",D228="PJ",D228="LK"),F228&lt;&gt;"",ISNUMBER(I228),J228="t CO2e",K228&lt;&gt;"",L228&lt;&gt;""),"COMPLETE","HOLD: INPUT / EVIDENCE")))</x:f>
      </x:c>
    </x:row>
    <x:row r="229" ht="23" customHeight="1">
      <x:c r="A229" s="38"/>
      <x:c r="B229" s="36"/>
      <x:c r="C229" s="36"/>
      <x:c r="D229" s="36"/>
      <x:c r="E229" s="36"/>
      <x:c r="F229" s="36"/>
      <x:c r="G229" s="36"/>
      <x:c r="H229" s="36"/>
      <x:c r="I229" s="41" t="str">
        <x:f>IF(A229="","",IF(COUNT(G229:H229)=2,G229*H229,""))</x:f>
      </x:c>
      <x:c r="J229" s="36"/>
      <x:c r="K229" s="36"/>
      <x:c r="L229" s="36"/>
      <x:c r="M229" s="36"/>
      <x:c r="N229" s="41" t="str">
        <x:f>IF(A229="","",IF(M229="NO","EXCLUDED",IF(AND(COUNTIF($A$6:$A$305,A229)=1,M229="YES",OR(B229="EA",B229="EP"),C229&lt;&gt;"",OR(D229="BL",D229="PJ",D229="LK"),F229&lt;&gt;"",ISNUMBER(I229),J229="t CO2e",K229&lt;&gt;"",L229&lt;&gt;""),"COMPLETE","HOLD: INPUT / EVIDENCE")))</x:f>
      </x:c>
    </x:row>
    <x:row r="230" ht="23" customHeight="1">
      <x:c r="A230" s="38"/>
      <x:c r="B230" s="36"/>
      <x:c r="C230" s="36"/>
      <x:c r="D230" s="36"/>
      <x:c r="E230" s="36"/>
      <x:c r="F230" s="36"/>
      <x:c r="G230" s="36"/>
      <x:c r="H230" s="36"/>
      <x:c r="I230" s="41" t="str">
        <x:f>IF(A230="","",IF(COUNT(G230:H230)=2,G230*H230,""))</x:f>
      </x:c>
      <x:c r="J230" s="36"/>
      <x:c r="K230" s="36"/>
      <x:c r="L230" s="36"/>
      <x:c r="M230" s="36"/>
      <x:c r="N230" s="41" t="str">
        <x:f>IF(A230="","",IF(M230="NO","EXCLUDED",IF(AND(COUNTIF($A$6:$A$305,A230)=1,M230="YES",OR(B230="EA",B230="EP"),C230&lt;&gt;"",OR(D230="BL",D230="PJ",D230="LK"),F230&lt;&gt;"",ISNUMBER(I230),J230="t CO2e",K230&lt;&gt;"",L230&lt;&gt;""),"COMPLETE","HOLD: INPUT / EVIDENCE")))</x:f>
      </x:c>
    </x:row>
    <x:row r="231" ht="23" customHeight="1">
      <x:c r="A231" s="38"/>
      <x:c r="B231" s="36"/>
      <x:c r="C231" s="36"/>
      <x:c r="D231" s="36"/>
      <x:c r="E231" s="36"/>
      <x:c r="F231" s="36"/>
      <x:c r="G231" s="36"/>
      <x:c r="H231" s="36"/>
      <x:c r="I231" s="41" t="str">
        <x:f>IF(A231="","",IF(COUNT(G231:H231)=2,G231*H231,""))</x:f>
      </x:c>
      <x:c r="J231" s="36"/>
      <x:c r="K231" s="36"/>
      <x:c r="L231" s="36"/>
      <x:c r="M231" s="36"/>
      <x:c r="N231" s="41" t="str">
        <x:f>IF(A231="","",IF(M231="NO","EXCLUDED",IF(AND(COUNTIF($A$6:$A$305,A231)=1,M231="YES",OR(B231="EA",B231="EP"),C231&lt;&gt;"",OR(D231="BL",D231="PJ",D231="LK"),F231&lt;&gt;"",ISNUMBER(I231),J231="t CO2e",K231&lt;&gt;"",L231&lt;&gt;""),"COMPLETE","HOLD: INPUT / EVIDENCE")))</x:f>
      </x:c>
    </x:row>
    <x:row r="232" ht="23" customHeight="1">
      <x:c r="A232" s="38"/>
      <x:c r="B232" s="36"/>
      <x:c r="C232" s="36"/>
      <x:c r="D232" s="36"/>
      <x:c r="E232" s="36"/>
      <x:c r="F232" s="36"/>
      <x:c r="G232" s="36"/>
      <x:c r="H232" s="36"/>
      <x:c r="I232" s="41" t="str">
        <x:f>IF(A232="","",IF(COUNT(G232:H232)=2,G232*H232,""))</x:f>
      </x:c>
      <x:c r="J232" s="36"/>
      <x:c r="K232" s="36"/>
      <x:c r="L232" s="36"/>
      <x:c r="M232" s="36"/>
      <x:c r="N232" s="41" t="str">
        <x:f>IF(A232="","",IF(M232="NO","EXCLUDED",IF(AND(COUNTIF($A$6:$A$305,A232)=1,M232="YES",OR(B232="EA",B232="EP"),C232&lt;&gt;"",OR(D232="BL",D232="PJ",D232="LK"),F232&lt;&gt;"",ISNUMBER(I232),J232="t CO2e",K232&lt;&gt;"",L232&lt;&gt;""),"COMPLETE","HOLD: INPUT / EVIDENCE")))</x:f>
      </x:c>
    </x:row>
    <x:row r="233" ht="23" customHeight="1">
      <x:c r="A233" s="38"/>
      <x:c r="B233" s="36"/>
      <x:c r="C233" s="36"/>
      <x:c r="D233" s="36"/>
      <x:c r="E233" s="36"/>
      <x:c r="F233" s="36"/>
      <x:c r="G233" s="36"/>
      <x:c r="H233" s="36"/>
      <x:c r="I233" s="41" t="str">
        <x:f>IF(A233="","",IF(COUNT(G233:H233)=2,G233*H233,""))</x:f>
      </x:c>
      <x:c r="J233" s="36"/>
      <x:c r="K233" s="36"/>
      <x:c r="L233" s="36"/>
      <x:c r="M233" s="36"/>
      <x:c r="N233" s="41" t="str">
        <x:f>IF(A233="","",IF(M233="NO","EXCLUDED",IF(AND(COUNTIF($A$6:$A$305,A233)=1,M233="YES",OR(B233="EA",B233="EP"),C233&lt;&gt;"",OR(D233="BL",D233="PJ",D233="LK"),F233&lt;&gt;"",ISNUMBER(I233),J233="t CO2e",K233&lt;&gt;"",L233&lt;&gt;""),"COMPLETE","HOLD: INPUT / EVIDENCE")))</x:f>
      </x:c>
    </x:row>
    <x:row r="234" ht="23" customHeight="1">
      <x:c r="A234" s="38"/>
      <x:c r="B234" s="36"/>
      <x:c r="C234" s="36"/>
      <x:c r="D234" s="36"/>
      <x:c r="E234" s="36"/>
      <x:c r="F234" s="36"/>
      <x:c r="G234" s="36"/>
      <x:c r="H234" s="36"/>
      <x:c r="I234" s="41" t="str">
        <x:f>IF(A234="","",IF(COUNT(G234:H234)=2,G234*H234,""))</x:f>
      </x:c>
      <x:c r="J234" s="36"/>
      <x:c r="K234" s="36"/>
      <x:c r="L234" s="36"/>
      <x:c r="M234" s="36"/>
      <x:c r="N234" s="41" t="str">
        <x:f>IF(A234="","",IF(M234="NO","EXCLUDED",IF(AND(COUNTIF($A$6:$A$305,A234)=1,M234="YES",OR(B234="EA",B234="EP"),C234&lt;&gt;"",OR(D234="BL",D234="PJ",D234="LK"),F234&lt;&gt;"",ISNUMBER(I234),J234="t CO2e",K234&lt;&gt;"",L234&lt;&gt;""),"COMPLETE","HOLD: INPUT / EVIDENCE")))</x:f>
      </x:c>
    </x:row>
    <x:row r="235" ht="23" customHeight="1">
      <x:c r="A235" s="38"/>
      <x:c r="B235" s="36"/>
      <x:c r="C235" s="36"/>
      <x:c r="D235" s="36"/>
      <x:c r="E235" s="36"/>
      <x:c r="F235" s="36"/>
      <x:c r="G235" s="36"/>
      <x:c r="H235" s="36"/>
      <x:c r="I235" s="41" t="str">
        <x:f>IF(A235="","",IF(COUNT(G235:H235)=2,G235*H235,""))</x:f>
      </x:c>
      <x:c r="J235" s="36"/>
      <x:c r="K235" s="36"/>
      <x:c r="L235" s="36"/>
      <x:c r="M235" s="36"/>
      <x:c r="N235" s="41" t="str">
        <x:f>IF(A235="","",IF(M235="NO","EXCLUDED",IF(AND(COUNTIF($A$6:$A$305,A235)=1,M235="YES",OR(B235="EA",B235="EP"),C235&lt;&gt;"",OR(D235="BL",D235="PJ",D235="LK"),F235&lt;&gt;"",ISNUMBER(I235),J235="t CO2e",K235&lt;&gt;"",L235&lt;&gt;""),"COMPLETE","HOLD: INPUT / EVIDENCE")))</x:f>
      </x:c>
    </x:row>
    <x:row r="236" ht="23" customHeight="1">
      <x:c r="A236" s="38"/>
      <x:c r="B236" s="36"/>
      <x:c r="C236" s="36"/>
      <x:c r="D236" s="36"/>
      <x:c r="E236" s="36"/>
      <x:c r="F236" s="36"/>
      <x:c r="G236" s="36"/>
      <x:c r="H236" s="36"/>
      <x:c r="I236" s="41" t="str">
        <x:f>IF(A236="","",IF(COUNT(G236:H236)=2,G236*H236,""))</x:f>
      </x:c>
      <x:c r="J236" s="36"/>
      <x:c r="K236" s="36"/>
      <x:c r="L236" s="36"/>
      <x:c r="M236" s="36"/>
      <x:c r="N236" s="41" t="str">
        <x:f>IF(A236="","",IF(M236="NO","EXCLUDED",IF(AND(COUNTIF($A$6:$A$305,A236)=1,M236="YES",OR(B236="EA",B236="EP"),C236&lt;&gt;"",OR(D236="BL",D236="PJ",D236="LK"),F236&lt;&gt;"",ISNUMBER(I236),J236="t CO2e",K236&lt;&gt;"",L236&lt;&gt;""),"COMPLETE","HOLD: INPUT / EVIDENCE")))</x:f>
      </x:c>
    </x:row>
    <x:row r="237" ht="23" customHeight="1">
      <x:c r="A237" s="38"/>
      <x:c r="B237" s="36"/>
      <x:c r="C237" s="36"/>
      <x:c r="D237" s="36"/>
      <x:c r="E237" s="36"/>
      <x:c r="F237" s="36"/>
      <x:c r="G237" s="36"/>
      <x:c r="H237" s="36"/>
      <x:c r="I237" s="41" t="str">
        <x:f>IF(A237="","",IF(COUNT(G237:H237)=2,G237*H237,""))</x:f>
      </x:c>
      <x:c r="J237" s="36"/>
      <x:c r="K237" s="36"/>
      <x:c r="L237" s="36"/>
      <x:c r="M237" s="36"/>
      <x:c r="N237" s="41" t="str">
        <x:f>IF(A237="","",IF(M237="NO","EXCLUDED",IF(AND(COUNTIF($A$6:$A$305,A237)=1,M237="YES",OR(B237="EA",B237="EP"),C237&lt;&gt;"",OR(D237="BL",D237="PJ",D237="LK"),F237&lt;&gt;"",ISNUMBER(I237),J237="t CO2e",K237&lt;&gt;"",L237&lt;&gt;""),"COMPLETE","HOLD: INPUT / EVIDENCE")))</x:f>
      </x:c>
    </x:row>
    <x:row r="238" ht="23" customHeight="1">
      <x:c r="A238" s="38"/>
      <x:c r="B238" s="36"/>
      <x:c r="C238" s="36"/>
      <x:c r="D238" s="36"/>
      <x:c r="E238" s="36"/>
      <x:c r="F238" s="36"/>
      <x:c r="G238" s="36"/>
      <x:c r="H238" s="36"/>
      <x:c r="I238" s="41" t="str">
        <x:f>IF(A238="","",IF(COUNT(G238:H238)=2,G238*H238,""))</x:f>
      </x:c>
      <x:c r="J238" s="36"/>
      <x:c r="K238" s="36"/>
      <x:c r="L238" s="36"/>
      <x:c r="M238" s="36"/>
      <x:c r="N238" s="41" t="str">
        <x:f>IF(A238="","",IF(M238="NO","EXCLUDED",IF(AND(COUNTIF($A$6:$A$305,A238)=1,M238="YES",OR(B238="EA",B238="EP"),C238&lt;&gt;"",OR(D238="BL",D238="PJ",D238="LK"),F238&lt;&gt;"",ISNUMBER(I238),J238="t CO2e",K238&lt;&gt;"",L238&lt;&gt;""),"COMPLETE","HOLD: INPUT / EVIDENCE")))</x:f>
      </x:c>
    </x:row>
    <x:row r="239" ht="23" customHeight="1">
      <x:c r="A239" s="38"/>
      <x:c r="B239" s="36"/>
      <x:c r="C239" s="36"/>
      <x:c r="D239" s="36"/>
      <x:c r="E239" s="36"/>
      <x:c r="F239" s="36"/>
      <x:c r="G239" s="36"/>
      <x:c r="H239" s="36"/>
      <x:c r="I239" s="41" t="str">
        <x:f>IF(A239="","",IF(COUNT(G239:H239)=2,G239*H239,""))</x:f>
      </x:c>
      <x:c r="J239" s="36"/>
      <x:c r="K239" s="36"/>
      <x:c r="L239" s="36"/>
      <x:c r="M239" s="36"/>
      <x:c r="N239" s="41" t="str">
        <x:f>IF(A239="","",IF(M239="NO","EXCLUDED",IF(AND(COUNTIF($A$6:$A$305,A239)=1,M239="YES",OR(B239="EA",B239="EP"),C239&lt;&gt;"",OR(D239="BL",D239="PJ",D239="LK"),F239&lt;&gt;"",ISNUMBER(I239),J239="t CO2e",K239&lt;&gt;"",L239&lt;&gt;""),"COMPLETE","HOLD: INPUT / EVIDENCE")))</x:f>
      </x:c>
    </x:row>
    <x:row r="240" ht="23" customHeight="1">
      <x:c r="A240" s="38"/>
      <x:c r="B240" s="36"/>
      <x:c r="C240" s="36"/>
      <x:c r="D240" s="36"/>
      <x:c r="E240" s="36"/>
      <x:c r="F240" s="36"/>
      <x:c r="G240" s="36"/>
      <x:c r="H240" s="36"/>
      <x:c r="I240" s="41" t="str">
        <x:f>IF(A240="","",IF(COUNT(G240:H240)=2,G240*H240,""))</x:f>
      </x:c>
      <x:c r="J240" s="36"/>
      <x:c r="K240" s="36"/>
      <x:c r="L240" s="36"/>
      <x:c r="M240" s="36"/>
      <x:c r="N240" s="41" t="str">
        <x:f>IF(A240="","",IF(M240="NO","EXCLUDED",IF(AND(COUNTIF($A$6:$A$305,A240)=1,M240="YES",OR(B240="EA",B240="EP"),C240&lt;&gt;"",OR(D240="BL",D240="PJ",D240="LK"),F240&lt;&gt;"",ISNUMBER(I240),J240="t CO2e",K240&lt;&gt;"",L240&lt;&gt;""),"COMPLETE","HOLD: INPUT / EVIDENCE")))</x:f>
      </x:c>
    </x:row>
    <x:row r="241" ht="23" customHeight="1">
      <x:c r="A241" s="38"/>
      <x:c r="B241" s="36"/>
      <x:c r="C241" s="36"/>
      <x:c r="D241" s="36"/>
      <x:c r="E241" s="36"/>
      <x:c r="F241" s="36"/>
      <x:c r="G241" s="36"/>
      <x:c r="H241" s="36"/>
      <x:c r="I241" s="41" t="str">
        <x:f>IF(A241="","",IF(COUNT(G241:H241)=2,G241*H241,""))</x:f>
      </x:c>
      <x:c r="J241" s="36"/>
      <x:c r="K241" s="36"/>
      <x:c r="L241" s="36"/>
      <x:c r="M241" s="36"/>
      <x:c r="N241" s="41" t="str">
        <x:f>IF(A241="","",IF(M241="NO","EXCLUDED",IF(AND(COUNTIF($A$6:$A$305,A241)=1,M241="YES",OR(B241="EA",B241="EP"),C241&lt;&gt;"",OR(D241="BL",D241="PJ",D241="LK"),F241&lt;&gt;"",ISNUMBER(I241),J241="t CO2e",K241&lt;&gt;"",L241&lt;&gt;""),"COMPLETE","HOLD: INPUT / EVIDENCE")))</x:f>
      </x:c>
    </x:row>
    <x:row r="242" ht="23" customHeight="1">
      <x:c r="A242" s="38"/>
      <x:c r="B242" s="36"/>
      <x:c r="C242" s="36"/>
      <x:c r="D242" s="36"/>
      <x:c r="E242" s="36"/>
      <x:c r="F242" s="36"/>
      <x:c r="G242" s="36"/>
      <x:c r="H242" s="36"/>
      <x:c r="I242" s="41" t="str">
        <x:f>IF(A242="","",IF(COUNT(G242:H242)=2,G242*H242,""))</x:f>
      </x:c>
      <x:c r="J242" s="36"/>
      <x:c r="K242" s="36"/>
      <x:c r="L242" s="36"/>
      <x:c r="M242" s="36"/>
      <x:c r="N242" s="41" t="str">
        <x:f>IF(A242="","",IF(M242="NO","EXCLUDED",IF(AND(COUNTIF($A$6:$A$305,A242)=1,M242="YES",OR(B242="EA",B242="EP"),C242&lt;&gt;"",OR(D242="BL",D242="PJ",D242="LK"),F242&lt;&gt;"",ISNUMBER(I242),J242="t CO2e",K242&lt;&gt;"",L242&lt;&gt;""),"COMPLETE","HOLD: INPUT / EVIDENCE")))</x:f>
      </x:c>
    </x:row>
    <x:row r="243" ht="23" customHeight="1">
      <x:c r="A243" s="38"/>
      <x:c r="B243" s="36"/>
      <x:c r="C243" s="36"/>
      <x:c r="D243" s="36"/>
      <x:c r="E243" s="36"/>
      <x:c r="F243" s="36"/>
      <x:c r="G243" s="36"/>
      <x:c r="H243" s="36"/>
      <x:c r="I243" s="41" t="str">
        <x:f>IF(A243="","",IF(COUNT(G243:H243)=2,G243*H243,""))</x:f>
      </x:c>
      <x:c r="J243" s="36"/>
      <x:c r="K243" s="36"/>
      <x:c r="L243" s="36"/>
      <x:c r="M243" s="36"/>
      <x:c r="N243" s="41" t="str">
        <x:f>IF(A243="","",IF(M243="NO","EXCLUDED",IF(AND(COUNTIF($A$6:$A$305,A243)=1,M243="YES",OR(B243="EA",B243="EP"),C243&lt;&gt;"",OR(D243="BL",D243="PJ",D243="LK"),F243&lt;&gt;"",ISNUMBER(I243),J243="t CO2e",K243&lt;&gt;"",L243&lt;&gt;""),"COMPLETE","HOLD: INPUT / EVIDENCE")))</x:f>
      </x:c>
    </x:row>
    <x:row r="244" ht="23" customHeight="1">
      <x:c r="A244" s="38"/>
      <x:c r="B244" s="36"/>
      <x:c r="C244" s="36"/>
      <x:c r="D244" s="36"/>
      <x:c r="E244" s="36"/>
      <x:c r="F244" s="36"/>
      <x:c r="G244" s="36"/>
      <x:c r="H244" s="36"/>
      <x:c r="I244" s="41" t="str">
        <x:f>IF(A244="","",IF(COUNT(G244:H244)=2,G244*H244,""))</x:f>
      </x:c>
      <x:c r="J244" s="36"/>
      <x:c r="K244" s="36"/>
      <x:c r="L244" s="36"/>
      <x:c r="M244" s="36"/>
      <x:c r="N244" s="41" t="str">
        <x:f>IF(A244="","",IF(M244="NO","EXCLUDED",IF(AND(COUNTIF($A$6:$A$305,A244)=1,M244="YES",OR(B244="EA",B244="EP"),C244&lt;&gt;"",OR(D244="BL",D244="PJ",D244="LK"),F244&lt;&gt;"",ISNUMBER(I244),J244="t CO2e",K244&lt;&gt;"",L244&lt;&gt;""),"COMPLETE","HOLD: INPUT / EVIDENCE")))</x:f>
      </x:c>
    </x:row>
    <x:row r="245" ht="23" customHeight="1">
      <x:c r="A245" s="38"/>
      <x:c r="B245" s="36"/>
      <x:c r="C245" s="36"/>
      <x:c r="D245" s="36"/>
      <x:c r="E245" s="36"/>
      <x:c r="F245" s="36"/>
      <x:c r="G245" s="36"/>
      <x:c r="H245" s="36"/>
      <x:c r="I245" s="41" t="str">
        <x:f>IF(A245="","",IF(COUNT(G245:H245)=2,G245*H245,""))</x:f>
      </x:c>
      <x:c r="J245" s="36"/>
      <x:c r="K245" s="36"/>
      <x:c r="L245" s="36"/>
      <x:c r="M245" s="36"/>
      <x:c r="N245" s="41" t="str">
        <x:f>IF(A245="","",IF(M245="NO","EXCLUDED",IF(AND(COUNTIF($A$6:$A$305,A245)=1,M245="YES",OR(B245="EA",B245="EP"),C245&lt;&gt;"",OR(D245="BL",D245="PJ",D245="LK"),F245&lt;&gt;"",ISNUMBER(I245),J245="t CO2e",K245&lt;&gt;"",L245&lt;&gt;""),"COMPLETE","HOLD: INPUT / EVIDENCE")))</x:f>
      </x:c>
    </x:row>
    <x:row r="246" ht="23" customHeight="1">
      <x:c r="A246" s="38"/>
      <x:c r="B246" s="36"/>
      <x:c r="C246" s="36"/>
      <x:c r="D246" s="36"/>
      <x:c r="E246" s="36"/>
      <x:c r="F246" s="36"/>
      <x:c r="G246" s="36"/>
      <x:c r="H246" s="36"/>
      <x:c r="I246" s="41" t="str">
        <x:f>IF(A246="","",IF(COUNT(G246:H246)=2,G246*H246,""))</x:f>
      </x:c>
      <x:c r="J246" s="36"/>
      <x:c r="K246" s="36"/>
      <x:c r="L246" s="36"/>
      <x:c r="M246" s="36"/>
      <x:c r="N246" s="41" t="str">
        <x:f>IF(A246="","",IF(M246="NO","EXCLUDED",IF(AND(COUNTIF($A$6:$A$305,A246)=1,M246="YES",OR(B246="EA",B246="EP"),C246&lt;&gt;"",OR(D246="BL",D246="PJ",D246="LK"),F246&lt;&gt;"",ISNUMBER(I246),J246="t CO2e",K246&lt;&gt;"",L246&lt;&gt;""),"COMPLETE","HOLD: INPUT / EVIDENCE")))</x:f>
      </x:c>
    </x:row>
    <x:row r="247" ht="23" customHeight="1">
      <x:c r="A247" s="38"/>
      <x:c r="B247" s="36"/>
      <x:c r="C247" s="36"/>
      <x:c r="D247" s="36"/>
      <x:c r="E247" s="36"/>
      <x:c r="F247" s="36"/>
      <x:c r="G247" s="36"/>
      <x:c r="H247" s="36"/>
      <x:c r="I247" s="41" t="str">
        <x:f>IF(A247="","",IF(COUNT(G247:H247)=2,G247*H247,""))</x:f>
      </x:c>
      <x:c r="J247" s="36"/>
      <x:c r="K247" s="36"/>
      <x:c r="L247" s="36"/>
      <x:c r="M247" s="36"/>
      <x:c r="N247" s="41" t="str">
        <x:f>IF(A247="","",IF(M247="NO","EXCLUDED",IF(AND(COUNTIF($A$6:$A$305,A247)=1,M247="YES",OR(B247="EA",B247="EP"),C247&lt;&gt;"",OR(D247="BL",D247="PJ",D247="LK"),F247&lt;&gt;"",ISNUMBER(I247),J247="t CO2e",K247&lt;&gt;"",L247&lt;&gt;""),"COMPLETE","HOLD: INPUT / EVIDENCE")))</x:f>
      </x:c>
    </x:row>
    <x:row r="248" ht="23" customHeight="1">
      <x:c r="A248" s="38"/>
      <x:c r="B248" s="36"/>
      <x:c r="C248" s="36"/>
      <x:c r="D248" s="36"/>
      <x:c r="E248" s="36"/>
      <x:c r="F248" s="36"/>
      <x:c r="G248" s="36"/>
      <x:c r="H248" s="36"/>
      <x:c r="I248" s="41" t="str">
        <x:f>IF(A248="","",IF(COUNT(G248:H248)=2,G248*H248,""))</x:f>
      </x:c>
      <x:c r="J248" s="36"/>
      <x:c r="K248" s="36"/>
      <x:c r="L248" s="36"/>
      <x:c r="M248" s="36"/>
      <x:c r="N248" s="41" t="str">
        <x:f>IF(A248="","",IF(M248="NO","EXCLUDED",IF(AND(COUNTIF($A$6:$A$305,A248)=1,M248="YES",OR(B248="EA",B248="EP"),C248&lt;&gt;"",OR(D248="BL",D248="PJ",D248="LK"),F248&lt;&gt;"",ISNUMBER(I248),J248="t CO2e",K248&lt;&gt;"",L248&lt;&gt;""),"COMPLETE","HOLD: INPUT / EVIDENCE")))</x:f>
      </x:c>
    </x:row>
    <x:row r="249" ht="23" customHeight="1">
      <x:c r="A249" s="38"/>
      <x:c r="B249" s="36"/>
      <x:c r="C249" s="36"/>
      <x:c r="D249" s="36"/>
      <x:c r="E249" s="36"/>
      <x:c r="F249" s="36"/>
      <x:c r="G249" s="36"/>
      <x:c r="H249" s="36"/>
      <x:c r="I249" s="41" t="str">
        <x:f>IF(A249="","",IF(COUNT(G249:H249)=2,G249*H249,""))</x:f>
      </x:c>
      <x:c r="J249" s="36"/>
      <x:c r="K249" s="36"/>
      <x:c r="L249" s="36"/>
      <x:c r="M249" s="36"/>
      <x:c r="N249" s="41" t="str">
        <x:f>IF(A249="","",IF(M249="NO","EXCLUDED",IF(AND(COUNTIF($A$6:$A$305,A249)=1,M249="YES",OR(B249="EA",B249="EP"),C249&lt;&gt;"",OR(D249="BL",D249="PJ",D249="LK"),F249&lt;&gt;"",ISNUMBER(I249),J249="t CO2e",K249&lt;&gt;"",L249&lt;&gt;""),"COMPLETE","HOLD: INPUT / EVIDENCE")))</x:f>
      </x:c>
    </x:row>
    <x:row r="250" ht="23" customHeight="1">
      <x:c r="A250" s="38"/>
      <x:c r="B250" s="36"/>
      <x:c r="C250" s="36"/>
      <x:c r="D250" s="36"/>
      <x:c r="E250" s="36"/>
      <x:c r="F250" s="36"/>
      <x:c r="G250" s="36"/>
      <x:c r="H250" s="36"/>
      <x:c r="I250" s="41" t="str">
        <x:f>IF(A250="","",IF(COUNT(G250:H250)=2,G250*H250,""))</x:f>
      </x:c>
      <x:c r="J250" s="36"/>
      <x:c r="K250" s="36"/>
      <x:c r="L250" s="36"/>
      <x:c r="M250" s="36"/>
      <x:c r="N250" s="41" t="str">
        <x:f>IF(A250="","",IF(M250="NO","EXCLUDED",IF(AND(COUNTIF($A$6:$A$305,A250)=1,M250="YES",OR(B250="EA",B250="EP"),C250&lt;&gt;"",OR(D250="BL",D250="PJ",D250="LK"),F250&lt;&gt;"",ISNUMBER(I250),J250="t CO2e",K250&lt;&gt;"",L250&lt;&gt;""),"COMPLETE","HOLD: INPUT / EVIDENCE")))</x:f>
      </x:c>
    </x:row>
    <x:row r="251" ht="23" customHeight="1">
      <x:c r="A251" s="38"/>
      <x:c r="B251" s="36"/>
      <x:c r="C251" s="36"/>
      <x:c r="D251" s="36"/>
      <x:c r="E251" s="36"/>
      <x:c r="F251" s="36"/>
      <x:c r="G251" s="36"/>
      <x:c r="H251" s="36"/>
      <x:c r="I251" s="41" t="str">
        <x:f>IF(A251="","",IF(COUNT(G251:H251)=2,G251*H251,""))</x:f>
      </x:c>
      <x:c r="J251" s="36"/>
      <x:c r="K251" s="36"/>
      <x:c r="L251" s="36"/>
      <x:c r="M251" s="36"/>
      <x:c r="N251" s="41" t="str">
        <x:f>IF(A251="","",IF(M251="NO","EXCLUDED",IF(AND(COUNTIF($A$6:$A$305,A251)=1,M251="YES",OR(B251="EA",B251="EP"),C251&lt;&gt;"",OR(D251="BL",D251="PJ",D251="LK"),F251&lt;&gt;"",ISNUMBER(I251),J251="t CO2e",K251&lt;&gt;"",L251&lt;&gt;""),"COMPLETE","HOLD: INPUT / EVIDENCE")))</x:f>
      </x:c>
    </x:row>
    <x:row r="252" ht="23" customHeight="1">
      <x:c r="A252" s="38"/>
      <x:c r="B252" s="36"/>
      <x:c r="C252" s="36"/>
      <x:c r="D252" s="36"/>
      <x:c r="E252" s="36"/>
      <x:c r="F252" s="36"/>
      <x:c r="G252" s="36"/>
      <x:c r="H252" s="36"/>
      <x:c r="I252" s="41" t="str">
        <x:f>IF(A252="","",IF(COUNT(G252:H252)=2,G252*H252,""))</x:f>
      </x:c>
      <x:c r="J252" s="36"/>
      <x:c r="K252" s="36"/>
      <x:c r="L252" s="36"/>
      <x:c r="M252" s="36"/>
      <x:c r="N252" s="41" t="str">
        <x:f>IF(A252="","",IF(M252="NO","EXCLUDED",IF(AND(COUNTIF($A$6:$A$305,A252)=1,M252="YES",OR(B252="EA",B252="EP"),C252&lt;&gt;"",OR(D252="BL",D252="PJ",D252="LK"),F252&lt;&gt;"",ISNUMBER(I252),J252="t CO2e",K252&lt;&gt;"",L252&lt;&gt;""),"COMPLETE","HOLD: INPUT / EVIDENCE")))</x:f>
      </x:c>
    </x:row>
    <x:row r="253" ht="23" customHeight="1">
      <x:c r="A253" s="38"/>
      <x:c r="B253" s="36"/>
      <x:c r="C253" s="36"/>
      <x:c r="D253" s="36"/>
      <x:c r="E253" s="36"/>
      <x:c r="F253" s="36"/>
      <x:c r="G253" s="36"/>
      <x:c r="H253" s="36"/>
      <x:c r="I253" s="41" t="str">
        <x:f>IF(A253="","",IF(COUNT(G253:H253)=2,G253*H253,""))</x:f>
      </x:c>
      <x:c r="J253" s="36"/>
      <x:c r="K253" s="36"/>
      <x:c r="L253" s="36"/>
      <x:c r="M253" s="36"/>
      <x:c r="N253" s="41" t="str">
        <x:f>IF(A253="","",IF(M253="NO","EXCLUDED",IF(AND(COUNTIF($A$6:$A$305,A253)=1,M253="YES",OR(B253="EA",B253="EP"),C253&lt;&gt;"",OR(D253="BL",D253="PJ",D253="LK"),F253&lt;&gt;"",ISNUMBER(I253),J253="t CO2e",K253&lt;&gt;"",L253&lt;&gt;""),"COMPLETE","HOLD: INPUT / EVIDENCE")))</x:f>
      </x:c>
    </x:row>
    <x:row r="254" ht="23" customHeight="1">
      <x:c r="A254" s="38"/>
      <x:c r="B254" s="36"/>
      <x:c r="C254" s="36"/>
      <x:c r="D254" s="36"/>
      <x:c r="E254" s="36"/>
      <x:c r="F254" s="36"/>
      <x:c r="G254" s="36"/>
      <x:c r="H254" s="36"/>
      <x:c r="I254" s="41" t="str">
        <x:f>IF(A254="","",IF(COUNT(G254:H254)=2,G254*H254,""))</x:f>
      </x:c>
      <x:c r="J254" s="36"/>
      <x:c r="K254" s="36"/>
      <x:c r="L254" s="36"/>
      <x:c r="M254" s="36"/>
      <x:c r="N254" s="41" t="str">
        <x:f>IF(A254="","",IF(M254="NO","EXCLUDED",IF(AND(COUNTIF($A$6:$A$305,A254)=1,M254="YES",OR(B254="EA",B254="EP"),C254&lt;&gt;"",OR(D254="BL",D254="PJ",D254="LK"),F254&lt;&gt;"",ISNUMBER(I254),J254="t CO2e",K254&lt;&gt;"",L254&lt;&gt;""),"COMPLETE","HOLD: INPUT / EVIDENCE")))</x:f>
      </x:c>
    </x:row>
    <x:row r="255" ht="23" customHeight="1">
      <x:c r="A255" s="38"/>
      <x:c r="B255" s="36"/>
      <x:c r="C255" s="36"/>
      <x:c r="D255" s="36"/>
      <x:c r="E255" s="36"/>
      <x:c r="F255" s="36"/>
      <x:c r="G255" s="36"/>
      <x:c r="H255" s="36"/>
      <x:c r="I255" s="41" t="str">
        <x:f>IF(A255="","",IF(COUNT(G255:H255)=2,G255*H255,""))</x:f>
      </x:c>
      <x:c r="J255" s="36"/>
      <x:c r="K255" s="36"/>
      <x:c r="L255" s="36"/>
      <x:c r="M255" s="36"/>
      <x:c r="N255" s="41" t="str">
        <x:f>IF(A255="","",IF(M255="NO","EXCLUDED",IF(AND(COUNTIF($A$6:$A$305,A255)=1,M255="YES",OR(B255="EA",B255="EP"),C255&lt;&gt;"",OR(D255="BL",D255="PJ",D255="LK"),F255&lt;&gt;"",ISNUMBER(I255),J255="t CO2e",K255&lt;&gt;"",L255&lt;&gt;""),"COMPLETE","HOLD: INPUT / EVIDENCE")))</x:f>
      </x:c>
    </x:row>
    <x:row r="256" ht="23" customHeight="1">
      <x:c r="A256" s="38"/>
      <x:c r="B256" s="36"/>
      <x:c r="C256" s="36"/>
      <x:c r="D256" s="36"/>
      <x:c r="E256" s="36"/>
      <x:c r="F256" s="36"/>
      <x:c r="G256" s="36"/>
      <x:c r="H256" s="36"/>
      <x:c r="I256" s="41" t="str">
        <x:f>IF(A256="","",IF(COUNT(G256:H256)=2,G256*H256,""))</x:f>
      </x:c>
      <x:c r="J256" s="36"/>
      <x:c r="K256" s="36"/>
      <x:c r="L256" s="36"/>
      <x:c r="M256" s="36"/>
      <x:c r="N256" s="41" t="str">
        <x:f>IF(A256="","",IF(M256="NO","EXCLUDED",IF(AND(COUNTIF($A$6:$A$305,A256)=1,M256="YES",OR(B256="EA",B256="EP"),C256&lt;&gt;"",OR(D256="BL",D256="PJ",D256="LK"),F256&lt;&gt;"",ISNUMBER(I256),J256="t CO2e",K256&lt;&gt;"",L256&lt;&gt;""),"COMPLETE","HOLD: INPUT / EVIDENCE")))</x:f>
      </x:c>
    </x:row>
    <x:row r="257" ht="23" customHeight="1">
      <x:c r="A257" s="38"/>
      <x:c r="B257" s="36"/>
      <x:c r="C257" s="36"/>
      <x:c r="D257" s="36"/>
      <x:c r="E257" s="36"/>
      <x:c r="F257" s="36"/>
      <x:c r="G257" s="36"/>
      <x:c r="H257" s="36"/>
      <x:c r="I257" s="41" t="str">
        <x:f>IF(A257="","",IF(COUNT(G257:H257)=2,G257*H257,""))</x:f>
      </x:c>
      <x:c r="J257" s="36"/>
      <x:c r="K257" s="36"/>
      <x:c r="L257" s="36"/>
      <x:c r="M257" s="36"/>
      <x:c r="N257" s="41" t="str">
        <x:f>IF(A257="","",IF(M257="NO","EXCLUDED",IF(AND(COUNTIF($A$6:$A$305,A257)=1,M257="YES",OR(B257="EA",B257="EP"),C257&lt;&gt;"",OR(D257="BL",D257="PJ",D257="LK"),F257&lt;&gt;"",ISNUMBER(I257),J257="t CO2e",K257&lt;&gt;"",L257&lt;&gt;""),"COMPLETE","HOLD: INPUT / EVIDENCE")))</x:f>
      </x:c>
    </x:row>
    <x:row r="258" ht="23" customHeight="1">
      <x:c r="A258" s="38"/>
      <x:c r="B258" s="36"/>
      <x:c r="C258" s="36"/>
      <x:c r="D258" s="36"/>
      <x:c r="E258" s="36"/>
      <x:c r="F258" s="36"/>
      <x:c r="G258" s="36"/>
      <x:c r="H258" s="36"/>
      <x:c r="I258" s="41" t="str">
        <x:f>IF(A258="","",IF(COUNT(G258:H258)=2,G258*H258,""))</x:f>
      </x:c>
      <x:c r="J258" s="36"/>
      <x:c r="K258" s="36"/>
      <x:c r="L258" s="36"/>
      <x:c r="M258" s="36"/>
      <x:c r="N258" s="41" t="str">
        <x:f>IF(A258="","",IF(M258="NO","EXCLUDED",IF(AND(COUNTIF($A$6:$A$305,A258)=1,M258="YES",OR(B258="EA",B258="EP"),C258&lt;&gt;"",OR(D258="BL",D258="PJ",D258="LK"),F258&lt;&gt;"",ISNUMBER(I258),J258="t CO2e",K258&lt;&gt;"",L258&lt;&gt;""),"COMPLETE","HOLD: INPUT / EVIDENCE")))</x:f>
      </x:c>
    </x:row>
    <x:row r="259" ht="23" customHeight="1">
      <x:c r="A259" s="38"/>
      <x:c r="B259" s="36"/>
      <x:c r="C259" s="36"/>
      <x:c r="D259" s="36"/>
      <x:c r="E259" s="36"/>
      <x:c r="F259" s="36"/>
      <x:c r="G259" s="36"/>
      <x:c r="H259" s="36"/>
      <x:c r="I259" s="41" t="str">
        <x:f>IF(A259="","",IF(COUNT(G259:H259)=2,G259*H259,""))</x:f>
      </x:c>
      <x:c r="J259" s="36"/>
      <x:c r="K259" s="36"/>
      <x:c r="L259" s="36"/>
      <x:c r="M259" s="36"/>
      <x:c r="N259" s="41" t="str">
        <x:f>IF(A259="","",IF(M259="NO","EXCLUDED",IF(AND(COUNTIF($A$6:$A$305,A259)=1,M259="YES",OR(B259="EA",B259="EP"),C259&lt;&gt;"",OR(D259="BL",D259="PJ",D259="LK"),F259&lt;&gt;"",ISNUMBER(I259),J259="t CO2e",K259&lt;&gt;"",L259&lt;&gt;""),"COMPLETE","HOLD: INPUT / EVIDENCE")))</x:f>
      </x:c>
    </x:row>
    <x:row r="260" ht="23" customHeight="1">
      <x:c r="A260" s="38"/>
      <x:c r="B260" s="36"/>
      <x:c r="C260" s="36"/>
      <x:c r="D260" s="36"/>
      <x:c r="E260" s="36"/>
      <x:c r="F260" s="36"/>
      <x:c r="G260" s="36"/>
      <x:c r="H260" s="36"/>
      <x:c r="I260" s="41" t="str">
        <x:f>IF(A260="","",IF(COUNT(G260:H260)=2,G260*H260,""))</x:f>
      </x:c>
      <x:c r="J260" s="36"/>
      <x:c r="K260" s="36"/>
      <x:c r="L260" s="36"/>
      <x:c r="M260" s="36"/>
      <x:c r="N260" s="41" t="str">
        <x:f>IF(A260="","",IF(M260="NO","EXCLUDED",IF(AND(COUNTIF($A$6:$A$305,A260)=1,M260="YES",OR(B260="EA",B260="EP"),C260&lt;&gt;"",OR(D260="BL",D260="PJ",D260="LK"),F260&lt;&gt;"",ISNUMBER(I260),J260="t CO2e",K260&lt;&gt;"",L260&lt;&gt;""),"COMPLETE","HOLD: INPUT / EVIDENCE")))</x:f>
      </x:c>
    </x:row>
    <x:row r="261" ht="23" customHeight="1">
      <x:c r="A261" s="38"/>
      <x:c r="B261" s="36"/>
      <x:c r="C261" s="36"/>
      <x:c r="D261" s="36"/>
      <x:c r="E261" s="36"/>
      <x:c r="F261" s="36"/>
      <x:c r="G261" s="36"/>
      <x:c r="H261" s="36"/>
      <x:c r="I261" s="41" t="str">
        <x:f>IF(A261="","",IF(COUNT(G261:H261)=2,G261*H261,""))</x:f>
      </x:c>
      <x:c r="J261" s="36"/>
      <x:c r="K261" s="36"/>
      <x:c r="L261" s="36"/>
      <x:c r="M261" s="36"/>
      <x:c r="N261" s="41" t="str">
        <x:f>IF(A261="","",IF(M261="NO","EXCLUDED",IF(AND(COUNTIF($A$6:$A$305,A261)=1,M261="YES",OR(B261="EA",B261="EP"),C261&lt;&gt;"",OR(D261="BL",D261="PJ",D261="LK"),F261&lt;&gt;"",ISNUMBER(I261),J261="t CO2e",K261&lt;&gt;"",L261&lt;&gt;""),"COMPLETE","HOLD: INPUT / EVIDENCE")))</x:f>
      </x:c>
    </x:row>
    <x:row r="262" ht="23" customHeight="1">
      <x:c r="A262" s="38"/>
      <x:c r="B262" s="36"/>
      <x:c r="C262" s="36"/>
      <x:c r="D262" s="36"/>
      <x:c r="E262" s="36"/>
      <x:c r="F262" s="36"/>
      <x:c r="G262" s="36"/>
      <x:c r="H262" s="36"/>
      <x:c r="I262" s="41" t="str">
        <x:f>IF(A262="","",IF(COUNT(G262:H262)=2,G262*H262,""))</x:f>
      </x:c>
      <x:c r="J262" s="36"/>
      <x:c r="K262" s="36"/>
      <x:c r="L262" s="36"/>
      <x:c r="M262" s="36"/>
      <x:c r="N262" s="41" t="str">
        <x:f>IF(A262="","",IF(M262="NO","EXCLUDED",IF(AND(COUNTIF($A$6:$A$305,A262)=1,M262="YES",OR(B262="EA",B262="EP"),C262&lt;&gt;"",OR(D262="BL",D262="PJ",D262="LK"),F262&lt;&gt;"",ISNUMBER(I262),J262="t CO2e",K262&lt;&gt;"",L262&lt;&gt;""),"COMPLETE","HOLD: INPUT / EVIDENCE")))</x:f>
      </x:c>
    </x:row>
    <x:row r="263" ht="23" customHeight="1">
      <x:c r="A263" s="38"/>
      <x:c r="B263" s="36"/>
      <x:c r="C263" s="36"/>
      <x:c r="D263" s="36"/>
      <x:c r="E263" s="36"/>
      <x:c r="F263" s="36"/>
      <x:c r="G263" s="36"/>
      <x:c r="H263" s="36"/>
      <x:c r="I263" s="41" t="str">
        <x:f>IF(A263="","",IF(COUNT(G263:H263)=2,G263*H263,""))</x:f>
      </x:c>
      <x:c r="J263" s="36"/>
      <x:c r="K263" s="36"/>
      <x:c r="L263" s="36"/>
      <x:c r="M263" s="36"/>
      <x:c r="N263" s="41" t="str">
        <x:f>IF(A263="","",IF(M263="NO","EXCLUDED",IF(AND(COUNTIF($A$6:$A$305,A263)=1,M263="YES",OR(B263="EA",B263="EP"),C263&lt;&gt;"",OR(D263="BL",D263="PJ",D263="LK"),F263&lt;&gt;"",ISNUMBER(I263),J263="t CO2e",K263&lt;&gt;"",L263&lt;&gt;""),"COMPLETE","HOLD: INPUT / EVIDENCE")))</x:f>
      </x:c>
    </x:row>
    <x:row r="264" ht="23" customHeight="1">
      <x:c r="A264" s="38"/>
      <x:c r="B264" s="36"/>
      <x:c r="C264" s="36"/>
      <x:c r="D264" s="36"/>
      <x:c r="E264" s="36"/>
      <x:c r="F264" s="36"/>
      <x:c r="G264" s="36"/>
      <x:c r="H264" s="36"/>
      <x:c r="I264" s="41" t="str">
        <x:f>IF(A264="","",IF(COUNT(G264:H264)=2,G264*H264,""))</x:f>
      </x:c>
      <x:c r="J264" s="36"/>
      <x:c r="K264" s="36"/>
      <x:c r="L264" s="36"/>
      <x:c r="M264" s="36"/>
      <x:c r="N264" s="41" t="str">
        <x:f>IF(A264="","",IF(M264="NO","EXCLUDED",IF(AND(COUNTIF($A$6:$A$305,A264)=1,M264="YES",OR(B264="EA",B264="EP"),C264&lt;&gt;"",OR(D264="BL",D264="PJ",D264="LK"),F264&lt;&gt;"",ISNUMBER(I264),J264="t CO2e",K264&lt;&gt;"",L264&lt;&gt;""),"COMPLETE","HOLD: INPUT / EVIDENCE")))</x:f>
      </x:c>
    </x:row>
    <x:row r="265" ht="23" customHeight="1">
      <x:c r="A265" s="38"/>
      <x:c r="B265" s="36"/>
      <x:c r="C265" s="36"/>
      <x:c r="D265" s="36"/>
      <x:c r="E265" s="36"/>
      <x:c r="F265" s="36"/>
      <x:c r="G265" s="36"/>
      <x:c r="H265" s="36"/>
      <x:c r="I265" s="41" t="str">
        <x:f>IF(A265="","",IF(COUNT(G265:H265)=2,G265*H265,""))</x:f>
      </x:c>
      <x:c r="J265" s="36"/>
      <x:c r="K265" s="36"/>
      <x:c r="L265" s="36"/>
      <x:c r="M265" s="36"/>
      <x:c r="N265" s="41" t="str">
        <x:f>IF(A265="","",IF(M265="NO","EXCLUDED",IF(AND(COUNTIF($A$6:$A$305,A265)=1,M265="YES",OR(B265="EA",B265="EP"),C265&lt;&gt;"",OR(D265="BL",D265="PJ",D265="LK"),F265&lt;&gt;"",ISNUMBER(I265),J265="t CO2e",K265&lt;&gt;"",L265&lt;&gt;""),"COMPLETE","HOLD: INPUT / EVIDENCE")))</x:f>
      </x:c>
    </x:row>
    <x:row r="266" ht="23" customHeight="1">
      <x:c r="A266" s="38"/>
      <x:c r="B266" s="36"/>
      <x:c r="C266" s="36"/>
      <x:c r="D266" s="36"/>
      <x:c r="E266" s="36"/>
      <x:c r="F266" s="36"/>
      <x:c r="G266" s="36"/>
      <x:c r="H266" s="36"/>
      <x:c r="I266" s="41" t="str">
        <x:f>IF(A266="","",IF(COUNT(G266:H266)=2,G266*H266,""))</x:f>
      </x:c>
      <x:c r="J266" s="36"/>
      <x:c r="K266" s="36"/>
      <x:c r="L266" s="36"/>
      <x:c r="M266" s="36"/>
      <x:c r="N266" s="41" t="str">
        <x:f>IF(A266="","",IF(M266="NO","EXCLUDED",IF(AND(COUNTIF($A$6:$A$305,A266)=1,M266="YES",OR(B266="EA",B266="EP"),C266&lt;&gt;"",OR(D266="BL",D266="PJ",D266="LK"),F266&lt;&gt;"",ISNUMBER(I266),J266="t CO2e",K266&lt;&gt;"",L266&lt;&gt;""),"COMPLETE","HOLD: INPUT / EVIDENCE")))</x:f>
      </x:c>
    </x:row>
    <x:row r="267" ht="23" customHeight="1">
      <x:c r="A267" s="38"/>
      <x:c r="B267" s="36"/>
      <x:c r="C267" s="36"/>
      <x:c r="D267" s="36"/>
      <x:c r="E267" s="36"/>
      <x:c r="F267" s="36"/>
      <x:c r="G267" s="36"/>
      <x:c r="H267" s="36"/>
      <x:c r="I267" s="41" t="str">
        <x:f>IF(A267="","",IF(COUNT(G267:H267)=2,G267*H267,""))</x:f>
      </x:c>
      <x:c r="J267" s="36"/>
      <x:c r="K267" s="36"/>
      <x:c r="L267" s="36"/>
      <x:c r="M267" s="36"/>
      <x:c r="N267" s="41" t="str">
        <x:f>IF(A267="","",IF(M267="NO","EXCLUDED",IF(AND(COUNTIF($A$6:$A$305,A267)=1,M267="YES",OR(B267="EA",B267="EP"),C267&lt;&gt;"",OR(D267="BL",D267="PJ",D267="LK"),F267&lt;&gt;"",ISNUMBER(I267),J267="t CO2e",K267&lt;&gt;"",L267&lt;&gt;""),"COMPLETE","HOLD: INPUT / EVIDENCE")))</x:f>
      </x:c>
    </x:row>
    <x:row r="268" ht="23" customHeight="1">
      <x:c r="A268" s="38"/>
      <x:c r="B268" s="36"/>
      <x:c r="C268" s="36"/>
      <x:c r="D268" s="36"/>
      <x:c r="E268" s="36"/>
      <x:c r="F268" s="36"/>
      <x:c r="G268" s="36"/>
      <x:c r="H268" s="36"/>
      <x:c r="I268" s="41" t="str">
        <x:f>IF(A268="","",IF(COUNT(G268:H268)=2,G268*H268,""))</x:f>
      </x:c>
      <x:c r="J268" s="36"/>
      <x:c r="K268" s="36"/>
      <x:c r="L268" s="36"/>
      <x:c r="M268" s="36"/>
      <x:c r="N268" s="41" t="str">
        <x:f>IF(A268="","",IF(M268="NO","EXCLUDED",IF(AND(COUNTIF($A$6:$A$305,A268)=1,M268="YES",OR(B268="EA",B268="EP"),C268&lt;&gt;"",OR(D268="BL",D268="PJ",D268="LK"),F268&lt;&gt;"",ISNUMBER(I268),J268="t CO2e",K268&lt;&gt;"",L268&lt;&gt;""),"COMPLETE","HOLD: INPUT / EVIDENCE")))</x:f>
      </x:c>
    </x:row>
    <x:row r="269" ht="23" customHeight="1">
      <x:c r="A269" s="38"/>
      <x:c r="B269" s="36"/>
      <x:c r="C269" s="36"/>
      <x:c r="D269" s="36"/>
      <x:c r="E269" s="36"/>
      <x:c r="F269" s="36"/>
      <x:c r="G269" s="36"/>
      <x:c r="H269" s="36"/>
      <x:c r="I269" s="41" t="str">
        <x:f>IF(A269="","",IF(COUNT(G269:H269)=2,G269*H269,""))</x:f>
      </x:c>
      <x:c r="J269" s="36"/>
      <x:c r="K269" s="36"/>
      <x:c r="L269" s="36"/>
      <x:c r="M269" s="36"/>
      <x:c r="N269" s="41" t="str">
        <x:f>IF(A269="","",IF(M269="NO","EXCLUDED",IF(AND(COUNTIF($A$6:$A$305,A269)=1,M269="YES",OR(B269="EA",B269="EP"),C269&lt;&gt;"",OR(D269="BL",D269="PJ",D269="LK"),F269&lt;&gt;"",ISNUMBER(I269),J269="t CO2e",K269&lt;&gt;"",L269&lt;&gt;""),"COMPLETE","HOLD: INPUT / EVIDENCE")))</x:f>
      </x:c>
    </x:row>
    <x:row r="270" ht="23" customHeight="1">
      <x:c r="A270" s="38"/>
      <x:c r="B270" s="36"/>
      <x:c r="C270" s="36"/>
      <x:c r="D270" s="36"/>
      <x:c r="E270" s="36"/>
      <x:c r="F270" s="36"/>
      <x:c r="G270" s="36"/>
      <x:c r="H270" s="36"/>
      <x:c r="I270" s="41" t="str">
        <x:f>IF(A270="","",IF(COUNT(G270:H270)=2,G270*H270,""))</x:f>
      </x:c>
      <x:c r="J270" s="36"/>
      <x:c r="K270" s="36"/>
      <x:c r="L270" s="36"/>
      <x:c r="M270" s="36"/>
      <x:c r="N270" s="41" t="str">
        <x:f>IF(A270="","",IF(M270="NO","EXCLUDED",IF(AND(COUNTIF($A$6:$A$305,A270)=1,M270="YES",OR(B270="EA",B270="EP"),C270&lt;&gt;"",OR(D270="BL",D270="PJ",D270="LK"),F270&lt;&gt;"",ISNUMBER(I270),J270="t CO2e",K270&lt;&gt;"",L270&lt;&gt;""),"COMPLETE","HOLD: INPUT / EVIDENCE")))</x:f>
      </x:c>
    </x:row>
    <x:row r="271" ht="23" customHeight="1">
      <x:c r="A271" s="38"/>
      <x:c r="B271" s="36"/>
      <x:c r="C271" s="36"/>
      <x:c r="D271" s="36"/>
      <x:c r="E271" s="36"/>
      <x:c r="F271" s="36"/>
      <x:c r="G271" s="36"/>
      <x:c r="H271" s="36"/>
      <x:c r="I271" s="41" t="str">
        <x:f>IF(A271="","",IF(COUNT(G271:H271)=2,G271*H271,""))</x:f>
      </x:c>
      <x:c r="J271" s="36"/>
      <x:c r="K271" s="36"/>
      <x:c r="L271" s="36"/>
      <x:c r="M271" s="36"/>
      <x:c r="N271" s="41" t="str">
        <x:f>IF(A271="","",IF(M271="NO","EXCLUDED",IF(AND(COUNTIF($A$6:$A$305,A271)=1,M271="YES",OR(B271="EA",B271="EP"),C271&lt;&gt;"",OR(D271="BL",D271="PJ",D271="LK"),F271&lt;&gt;"",ISNUMBER(I271),J271="t CO2e",K271&lt;&gt;"",L271&lt;&gt;""),"COMPLETE","HOLD: INPUT / EVIDENCE")))</x:f>
      </x:c>
    </x:row>
    <x:row r="272" ht="23" customHeight="1">
      <x:c r="A272" s="38"/>
      <x:c r="B272" s="36"/>
      <x:c r="C272" s="36"/>
      <x:c r="D272" s="36"/>
      <x:c r="E272" s="36"/>
      <x:c r="F272" s="36"/>
      <x:c r="G272" s="36"/>
      <x:c r="H272" s="36"/>
      <x:c r="I272" s="41" t="str">
        <x:f>IF(A272="","",IF(COUNT(G272:H272)=2,G272*H272,""))</x:f>
      </x:c>
      <x:c r="J272" s="36"/>
      <x:c r="K272" s="36"/>
      <x:c r="L272" s="36"/>
      <x:c r="M272" s="36"/>
      <x:c r="N272" s="41" t="str">
        <x:f>IF(A272="","",IF(M272="NO","EXCLUDED",IF(AND(COUNTIF($A$6:$A$305,A272)=1,M272="YES",OR(B272="EA",B272="EP"),C272&lt;&gt;"",OR(D272="BL",D272="PJ",D272="LK"),F272&lt;&gt;"",ISNUMBER(I272),J272="t CO2e",K272&lt;&gt;"",L272&lt;&gt;""),"COMPLETE","HOLD: INPUT / EVIDENCE")))</x:f>
      </x:c>
    </x:row>
    <x:row r="273" ht="23" customHeight="1">
      <x:c r="A273" s="38"/>
      <x:c r="B273" s="36"/>
      <x:c r="C273" s="36"/>
      <x:c r="D273" s="36"/>
      <x:c r="E273" s="36"/>
      <x:c r="F273" s="36"/>
      <x:c r="G273" s="36"/>
      <x:c r="H273" s="36"/>
      <x:c r="I273" s="41" t="str">
        <x:f>IF(A273="","",IF(COUNT(G273:H273)=2,G273*H273,""))</x:f>
      </x:c>
      <x:c r="J273" s="36"/>
      <x:c r="K273" s="36"/>
      <x:c r="L273" s="36"/>
      <x:c r="M273" s="36"/>
      <x:c r="N273" s="41" t="str">
        <x:f>IF(A273="","",IF(M273="NO","EXCLUDED",IF(AND(COUNTIF($A$6:$A$305,A273)=1,M273="YES",OR(B273="EA",B273="EP"),C273&lt;&gt;"",OR(D273="BL",D273="PJ",D273="LK"),F273&lt;&gt;"",ISNUMBER(I273),J273="t CO2e",K273&lt;&gt;"",L273&lt;&gt;""),"COMPLETE","HOLD: INPUT / EVIDENCE")))</x:f>
      </x:c>
    </x:row>
    <x:row r="274" ht="23" customHeight="1">
      <x:c r="A274" s="38"/>
      <x:c r="B274" s="36"/>
      <x:c r="C274" s="36"/>
      <x:c r="D274" s="36"/>
      <x:c r="E274" s="36"/>
      <x:c r="F274" s="36"/>
      <x:c r="G274" s="36"/>
      <x:c r="H274" s="36"/>
      <x:c r="I274" s="41" t="str">
        <x:f>IF(A274="","",IF(COUNT(G274:H274)=2,G274*H274,""))</x:f>
      </x:c>
      <x:c r="J274" s="36"/>
      <x:c r="K274" s="36"/>
      <x:c r="L274" s="36"/>
      <x:c r="M274" s="36"/>
      <x:c r="N274" s="41" t="str">
        <x:f>IF(A274="","",IF(M274="NO","EXCLUDED",IF(AND(COUNTIF($A$6:$A$305,A274)=1,M274="YES",OR(B274="EA",B274="EP"),C274&lt;&gt;"",OR(D274="BL",D274="PJ",D274="LK"),F274&lt;&gt;"",ISNUMBER(I274),J274="t CO2e",K274&lt;&gt;"",L274&lt;&gt;""),"COMPLETE","HOLD: INPUT / EVIDENCE")))</x:f>
      </x:c>
    </x:row>
    <x:row r="275" ht="23" customHeight="1">
      <x:c r="A275" s="38"/>
      <x:c r="B275" s="36"/>
      <x:c r="C275" s="36"/>
      <x:c r="D275" s="36"/>
      <x:c r="E275" s="36"/>
      <x:c r="F275" s="36"/>
      <x:c r="G275" s="36"/>
      <x:c r="H275" s="36"/>
      <x:c r="I275" s="41" t="str">
        <x:f>IF(A275="","",IF(COUNT(G275:H275)=2,G275*H275,""))</x:f>
      </x:c>
      <x:c r="J275" s="36"/>
      <x:c r="K275" s="36"/>
      <x:c r="L275" s="36"/>
      <x:c r="M275" s="36"/>
      <x:c r="N275" s="41" t="str">
        <x:f>IF(A275="","",IF(M275="NO","EXCLUDED",IF(AND(COUNTIF($A$6:$A$305,A275)=1,M275="YES",OR(B275="EA",B275="EP"),C275&lt;&gt;"",OR(D275="BL",D275="PJ",D275="LK"),F275&lt;&gt;"",ISNUMBER(I275),J275="t CO2e",K275&lt;&gt;"",L275&lt;&gt;""),"COMPLETE","HOLD: INPUT / EVIDENCE")))</x:f>
      </x:c>
    </x:row>
    <x:row r="276" ht="23" customHeight="1">
      <x:c r="A276" s="38"/>
      <x:c r="B276" s="36"/>
      <x:c r="C276" s="36"/>
      <x:c r="D276" s="36"/>
      <x:c r="E276" s="36"/>
      <x:c r="F276" s="36"/>
      <x:c r="G276" s="36"/>
      <x:c r="H276" s="36"/>
      <x:c r="I276" s="41" t="str">
        <x:f>IF(A276="","",IF(COUNT(G276:H276)=2,G276*H276,""))</x:f>
      </x:c>
      <x:c r="J276" s="36"/>
      <x:c r="K276" s="36"/>
      <x:c r="L276" s="36"/>
      <x:c r="M276" s="36"/>
      <x:c r="N276" s="41" t="str">
        <x:f>IF(A276="","",IF(M276="NO","EXCLUDED",IF(AND(COUNTIF($A$6:$A$305,A276)=1,M276="YES",OR(B276="EA",B276="EP"),C276&lt;&gt;"",OR(D276="BL",D276="PJ",D276="LK"),F276&lt;&gt;"",ISNUMBER(I276),J276="t CO2e",K276&lt;&gt;"",L276&lt;&gt;""),"COMPLETE","HOLD: INPUT / EVIDENCE")))</x:f>
      </x:c>
    </x:row>
    <x:row r="277" ht="23" customHeight="1">
      <x:c r="A277" s="38"/>
      <x:c r="B277" s="36"/>
      <x:c r="C277" s="36"/>
      <x:c r="D277" s="36"/>
      <x:c r="E277" s="36"/>
      <x:c r="F277" s="36"/>
      <x:c r="G277" s="36"/>
      <x:c r="H277" s="36"/>
      <x:c r="I277" s="41" t="str">
        <x:f>IF(A277="","",IF(COUNT(G277:H277)=2,G277*H277,""))</x:f>
      </x:c>
      <x:c r="J277" s="36"/>
      <x:c r="K277" s="36"/>
      <x:c r="L277" s="36"/>
      <x:c r="M277" s="36"/>
      <x:c r="N277" s="41" t="str">
        <x:f>IF(A277="","",IF(M277="NO","EXCLUDED",IF(AND(COUNTIF($A$6:$A$305,A277)=1,M277="YES",OR(B277="EA",B277="EP"),C277&lt;&gt;"",OR(D277="BL",D277="PJ",D277="LK"),F277&lt;&gt;"",ISNUMBER(I277),J277="t CO2e",K277&lt;&gt;"",L277&lt;&gt;""),"COMPLETE","HOLD: INPUT / EVIDENCE")))</x:f>
      </x:c>
    </x:row>
    <x:row r="278" ht="23" customHeight="1">
      <x:c r="A278" s="38"/>
      <x:c r="B278" s="36"/>
      <x:c r="C278" s="36"/>
      <x:c r="D278" s="36"/>
      <x:c r="E278" s="36"/>
      <x:c r="F278" s="36"/>
      <x:c r="G278" s="36"/>
      <x:c r="H278" s="36"/>
      <x:c r="I278" s="41" t="str">
        <x:f>IF(A278="","",IF(COUNT(G278:H278)=2,G278*H278,""))</x:f>
      </x:c>
      <x:c r="J278" s="36"/>
      <x:c r="K278" s="36"/>
      <x:c r="L278" s="36"/>
      <x:c r="M278" s="36"/>
      <x:c r="N278" s="41" t="str">
        <x:f>IF(A278="","",IF(M278="NO","EXCLUDED",IF(AND(COUNTIF($A$6:$A$305,A278)=1,M278="YES",OR(B278="EA",B278="EP"),C278&lt;&gt;"",OR(D278="BL",D278="PJ",D278="LK"),F278&lt;&gt;"",ISNUMBER(I278),J278="t CO2e",K278&lt;&gt;"",L278&lt;&gt;""),"COMPLETE","HOLD: INPUT / EVIDENCE")))</x:f>
      </x:c>
    </x:row>
    <x:row r="279" ht="23" customHeight="1">
      <x:c r="A279" s="38"/>
      <x:c r="B279" s="36"/>
      <x:c r="C279" s="36"/>
      <x:c r="D279" s="36"/>
      <x:c r="E279" s="36"/>
      <x:c r="F279" s="36"/>
      <x:c r="G279" s="36"/>
      <x:c r="H279" s="36"/>
      <x:c r="I279" s="41" t="str">
        <x:f>IF(A279="","",IF(COUNT(G279:H279)=2,G279*H279,""))</x:f>
      </x:c>
      <x:c r="J279" s="36"/>
      <x:c r="K279" s="36"/>
      <x:c r="L279" s="36"/>
      <x:c r="M279" s="36"/>
      <x:c r="N279" s="41" t="str">
        <x:f>IF(A279="","",IF(M279="NO","EXCLUDED",IF(AND(COUNTIF($A$6:$A$305,A279)=1,M279="YES",OR(B279="EA",B279="EP"),C279&lt;&gt;"",OR(D279="BL",D279="PJ",D279="LK"),F279&lt;&gt;"",ISNUMBER(I279),J279="t CO2e",K279&lt;&gt;"",L279&lt;&gt;""),"COMPLETE","HOLD: INPUT / EVIDENCE")))</x:f>
      </x:c>
    </x:row>
    <x:row r="280" ht="23" customHeight="1">
      <x:c r="A280" s="38"/>
      <x:c r="B280" s="36"/>
      <x:c r="C280" s="36"/>
      <x:c r="D280" s="36"/>
      <x:c r="E280" s="36"/>
      <x:c r="F280" s="36"/>
      <x:c r="G280" s="36"/>
      <x:c r="H280" s="36"/>
      <x:c r="I280" s="41" t="str">
        <x:f>IF(A280="","",IF(COUNT(G280:H280)=2,G280*H280,""))</x:f>
      </x:c>
      <x:c r="J280" s="36"/>
      <x:c r="K280" s="36"/>
      <x:c r="L280" s="36"/>
      <x:c r="M280" s="36"/>
      <x:c r="N280" s="41" t="str">
        <x:f>IF(A280="","",IF(M280="NO","EXCLUDED",IF(AND(COUNTIF($A$6:$A$305,A280)=1,M280="YES",OR(B280="EA",B280="EP"),C280&lt;&gt;"",OR(D280="BL",D280="PJ",D280="LK"),F280&lt;&gt;"",ISNUMBER(I280),J280="t CO2e",K280&lt;&gt;"",L280&lt;&gt;""),"COMPLETE","HOLD: INPUT / EVIDENCE")))</x:f>
      </x:c>
    </x:row>
    <x:row r="281" ht="23" customHeight="1">
      <x:c r="A281" s="38"/>
      <x:c r="B281" s="36"/>
      <x:c r="C281" s="36"/>
      <x:c r="D281" s="36"/>
      <x:c r="E281" s="36"/>
      <x:c r="F281" s="36"/>
      <x:c r="G281" s="36"/>
      <x:c r="H281" s="36"/>
      <x:c r="I281" s="41" t="str">
        <x:f>IF(A281="","",IF(COUNT(G281:H281)=2,G281*H281,""))</x:f>
      </x:c>
      <x:c r="J281" s="36"/>
      <x:c r="K281" s="36"/>
      <x:c r="L281" s="36"/>
      <x:c r="M281" s="36"/>
      <x:c r="N281" s="41" t="str">
        <x:f>IF(A281="","",IF(M281="NO","EXCLUDED",IF(AND(COUNTIF($A$6:$A$305,A281)=1,M281="YES",OR(B281="EA",B281="EP"),C281&lt;&gt;"",OR(D281="BL",D281="PJ",D281="LK"),F281&lt;&gt;"",ISNUMBER(I281),J281="t CO2e",K281&lt;&gt;"",L281&lt;&gt;""),"COMPLETE","HOLD: INPUT / EVIDENCE")))</x:f>
      </x:c>
    </x:row>
    <x:row r="282" ht="23" customHeight="1">
      <x:c r="A282" s="38"/>
      <x:c r="B282" s="36"/>
      <x:c r="C282" s="36"/>
      <x:c r="D282" s="36"/>
      <x:c r="E282" s="36"/>
      <x:c r="F282" s="36"/>
      <x:c r="G282" s="36"/>
      <x:c r="H282" s="36"/>
      <x:c r="I282" s="41" t="str">
        <x:f>IF(A282="","",IF(COUNT(G282:H282)=2,G282*H282,""))</x:f>
      </x:c>
      <x:c r="J282" s="36"/>
      <x:c r="K282" s="36"/>
      <x:c r="L282" s="36"/>
      <x:c r="M282" s="36"/>
      <x:c r="N282" s="41" t="str">
        <x:f>IF(A282="","",IF(M282="NO","EXCLUDED",IF(AND(COUNTIF($A$6:$A$305,A282)=1,M282="YES",OR(B282="EA",B282="EP"),C282&lt;&gt;"",OR(D282="BL",D282="PJ",D282="LK"),F282&lt;&gt;"",ISNUMBER(I282),J282="t CO2e",K282&lt;&gt;"",L282&lt;&gt;""),"COMPLETE","HOLD: INPUT / EVIDENCE")))</x:f>
      </x:c>
    </x:row>
    <x:row r="283" ht="23" customHeight="1">
      <x:c r="A283" s="38"/>
      <x:c r="B283" s="36"/>
      <x:c r="C283" s="36"/>
      <x:c r="D283" s="36"/>
      <x:c r="E283" s="36"/>
      <x:c r="F283" s="36"/>
      <x:c r="G283" s="36"/>
      <x:c r="H283" s="36"/>
      <x:c r="I283" s="41" t="str">
        <x:f>IF(A283="","",IF(COUNT(G283:H283)=2,G283*H283,""))</x:f>
      </x:c>
      <x:c r="J283" s="36"/>
      <x:c r="K283" s="36"/>
      <x:c r="L283" s="36"/>
      <x:c r="M283" s="36"/>
      <x:c r="N283" s="41" t="str">
        <x:f>IF(A283="","",IF(M283="NO","EXCLUDED",IF(AND(COUNTIF($A$6:$A$305,A283)=1,M283="YES",OR(B283="EA",B283="EP"),C283&lt;&gt;"",OR(D283="BL",D283="PJ",D283="LK"),F283&lt;&gt;"",ISNUMBER(I283),J283="t CO2e",K283&lt;&gt;"",L283&lt;&gt;""),"COMPLETE","HOLD: INPUT / EVIDENCE")))</x:f>
      </x:c>
    </x:row>
    <x:row r="284" ht="23" customHeight="1">
      <x:c r="A284" s="38"/>
      <x:c r="B284" s="36"/>
      <x:c r="C284" s="36"/>
      <x:c r="D284" s="36"/>
      <x:c r="E284" s="36"/>
      <x:c r="F284" s="36"/>
      <x:c r="G284" s="36"/>
      <x:c r="H284" s="36"/>
      <x:c r="I284" s="41" t="str">
        <x:f>IF(A284="","",IF(COUNT(G284:H284)=2,G284*H284,""))</x:f>
      </x:c>
      <x:c r="J284" s="36"/>
      <x:c r="K284" s="36"/>
      <x:c r="L284" s="36"/>
      <x:c r="M284" s="36"/>
      <x:c r="N284" s="41" t="str">
        <x:f>IF(A284="","",IF(M284="NO","EXCLUDED",IF(AND(COUNTIF($A$6:$A$305,A284)=1,M284="YES",OR(B284="EA",B284="EP"),C284&lt;&gt;"",OR(D284="BL",D284="PJ",D284="LK"),F284&lt;&gt;"",ISNUMBER(I284),J284="t CO2e",K284&lt;&gt;"",L284&lt;&gt;""),"COMPLETE","HOLD: INPUT / EVIDENCE")))</x:f>
      </x:c>
    </x:row>
    <x:row r="285" ht="23" customHeight="1">
      <x:c r="A285" s="38"/>
      <x:c r="B285" s="36"/>
      <x:c r="C285" s="36"/>
      <x:c r="D285" s="36"/>
      <x:c r="E285" s="36"/>
      <x:c r="F285" s="36"/>
      <x:c r="G285" s="36"/>
      <x:c r="H285" s="36"/>
      <x:c r="I285" s="41" t="str">
        <x:f>IF(A285="","",IF(COUNT(G285:H285)=2,G285*H285,""))</x:f>
      </x:c>
      <x:c r="J285" s="36"/>
      <x:c r="K285" s="36"/>
      <x:c r="L285" s="36"/>
      <x:c r="M285" s="36"/>
      <x:c r="N285" s="41" t="str">
        <x:f>IF(A285="","",IF(M285="NO","EXCLUDED",IF(AND(COUNTIF($A$6:$A$305,A285)=1,M285="YES",OR(B285="EA",B285="EP"),C285&lt;&gt;"",OR(D285="BL",D285="PJ",D285="LK"),F285&lt;&gt;"",ISNUMBER(I285),J285="t CO2e",K285&lt;&gt;"",L285&lt;&gt;""),"COMPLETE","HOLD: INPUT / EVIDENCE")))</x:f>
      </x:c>
    </x:row>
    <x:row r="286" ht="23" customHeight="1">
      <x:c r="A286" s="38"/>
      <x:c r="B286" s="36"/>
      <x:c r="C286" s="36"/>
      <x:c r="D286" s="36"/>
      <x:c r="E286" s="36"/>
      <x:c r="F286" s="36"/>
      <x:c r="G286" s="36"/>
      <x:c r="H286" s="36"/>
      <x:c r="I286" s="41" t="str">
        <x:f>IF(A286="","",IF(COUNT(G286:H286)=2,G286*H286,""))</x:f>
      </x:c>
      <x:c r="J286" s="36"/>
      <x:c r="K286" s="36"/>
      <x:c r="L286" s="36"/>
      <x:c r="M286" s="36"/>
      <x:c r="N286" s="41" t="str">
        <x:f>IF(A286="","",IF(M286="NO","EXCLUDED",IF(AND(COUNTIF($A$6:$A$305,A286)=1,M286="YES",OR(B286="EA",B286="EP"),C286&lt;&gt;"",OR(D286="BL",D286="PJ",D286="LK"),F286&lt;&gt;"",ISNUMBER(I286),J286="t CO2e",K286&lt;&gt;"",L286&lt;&gt;""),"COMPLETE","HOLD: INPUT / EVIDENCE")))</x:f>
      </x:c>
    </x:row>
    <x:row r="287" ht="23" customHeight="1">
      <x:c r="A287" s="38"/>
      <x:c r="B287" s="36"/>
      <x:c r="C287" s="36"/>
      <x:c r="D287" s="36"/>
      <x:c r="E287" s="36"/>
      <x:c r="F287" s="36"/>
      <x:c r="G287" s="36"/>
      <x:c r="H287" s="36"/>
      <x:c r="I287" s="41" t="str">
        <x:f>IF(A287="","",IF(COUNT(G287:H287)=2,G287*H287,""))</x:f>
      </x:c>
      <x:c r="J287" s="36"/>
      <x:c r="K287" s="36"/>
      <x:c r="L287" s="36"/>
      <x:c r="M287" s="36"/>
      <x:c r="N287" s="41" t="str">
        <x:f>IF(A287="","",IF(M287="NO","EXCLUDED",IF(AND(COUNTIF($A$6:$A$305,A287)=1,M287="YES",OR(B287="EA",B287="EP"),C287&lt;&gt;"",OR(D287="BL",D287="PJ",D287="LK"),F287&lt;&gt;"",ISNUMBER(I287),J287="t CO2e",K287&lt;&gt;"",L287&lt;&gt;""),"COMPLETE","HOLD: INPUT / EVIDENCE")))</x:f>
      </x:c>
    </x:row>
    <x:row r="288" ht="23" customHeight="1">
      <x:c r="A288" s="38"/>
      <x:c r="B288" s="36"/>
      <x:c r="C288" s="36"/>
      <x:c r="D288" s="36"/>
      <x:c r="E288" s="36"/>
      <x:c r="F288" s="36"/>
      <x:c r="G288" s="36"/>
      <x:c r="H288" s="36"/>
      <x:c r="I288" s="41" t="str">
        <x:f>IF(A288="","",IF(COUNT(G288:H288)=2,G288*H288,""))</x:f>
      </x:c>
      <x:c r="J288" s="36"/>
      <x:c r="K288" s="36"/>
      <x:c r="L288" s="36"/>
      <x:c r="M288" s="36"/>
      <x:c r="N288" s="41" t="str">
        <x:f>IF(A288="","",IF(M288="NO","EXCLUDED",IF(AND(COUNTIF($A$6:$A$305,A288)=1,M288="YES",OR(B288="EA",B288="EP"),C288&lt;&gt;"",OR(D288="BL",D288="PJ",D288="LK"),F288&lt;&gt;"",ISNUMBER(I288),J288="t CO2e",K288&lt;&gt;"",L288&lt;&gt;""),"COMPLETE","HOLD: INPUT / EVIDENCE")))</x:f>
      </x:c>
    </x:row>
    <x:row r="289" ht="23" customHeight="1">
      <x:c r="A289" s="38"/>
      <x:c r="B289" s="36"/>
      <x:c r="C289" s="36"/>
      <x:c r="D289" s="36"/>
      <x:c r="E289" s="36"/>
      <x:c r="F289" s="36"/>
      <x:c r="G289" s="36"/>
      <x:c r="H289" s="36"/>
      <x:c r="I289" s="41" t="str">
        <x:f>IF(A289="","",IF(COUNT(G289:H289)=2,G289*H289,""))</x:f>
      </x:c>
      <x:c r="J289" s="36"/>
      <x:c r="K289" s="36"/>
      <x:c r="L289" s="36"/>
      <x:c r="M289" s="36"/>
      <x:c r="N289" s="41" t="str">
        <x:f>IF(A289="","",IF(M289="NO","EXCLUDED",IF(AND(COUNTIF($A$6:$A$305,A289)=1,M289="YES",OR(B289="EA",B289="EP"),C289&lt;&gt;"",OR(D289="BL",D289="PJ",D289="LK"),F289&lt;&gt;"",ISNUMBER(I289),J289="t CO2e",K289&lt;&gt;"",L289&lt;&gt;""),"COMPLETE","HOLD: INPUT / EVIDENCE")))</x:f>
      </x:c>
    </x:row>
    <x:row r="290" ht="23" customHeight="1">
      <x:c r="A290" s="38"/>
      <x:c r="B290" s="36"/>
      <x:c r="C290" s="36"/>
      <x:c r="D290" s="36"/>
      <x:c r="E290" s="36"/>
      <x:c r="F290" s="36"/>
      <x:c r="G290" s="36"/>
      <x:c r="H290" s="36"/>
      <x:c r="I290" s="41" t="str">
        <x:f>IF(A290="","",IF(COUNT(G290:H290)=2,G290*H290,""))</x:f>
      </x:c>
      <x:c r="J290" s="36"/>
      <x:c r="K290" s="36"/>
      <x:c r="L290" s="36"/>
      <x:c r="M290" s="36"/>
      <x:c r="N290" s="41" t="str">
        <x:f>IF(A290="","",IF(M290="NO","EXCLUDED",IF(AND(COUNTIF($A$6:$A$305,A290)=1,M290="YES",OR(B290="EA",B290="EP"),C290&lt;&gt;"",OR(D290="BL",D290="PJ",D290="LK"),F290&lt;&gt;"",ISNUMBER(I290),J290="t CO2e",K290&lt;&gt;"",L290&lt;&gt;""),"COMPLETE","HOLD: INPUT / EVIDENCE")))</x:f>
      </x:c>
    </x:row>
    <x:row r="291" ht="23" customHeight="1">
      <x:c r="A291" s="38"/>
      <x:c r="B291" s="36"/>
      <x:c r="C291" s="36"/>
      <x:c r="D291" s="36"/>
      <x:c r="E291" s="36"/>
      <x:c r="F291" s="36"/>
      <x:c r="G291" s="36"/>
      <x:c r="H291" s="36"/>
      <x:c r="I291" s="41" t="str">
        <x:f>IF(A291="","",IF(COUNT(G291:H291)=2,G291*H291,""))</x:f>
      </x:c>
      <x:c r="J291" s="36"/>
      <x:c r="K291" s="36"/>
      <x:c r="L291" s="36"/>
      <x:c r="M291" s="36"/>
      <x:c r="N291" s="41" t="str">
        <x:f>IF(A291="","",IF(M291="NO","EXCLUDED",IF(AND(COUNTIF($A$6:$A$305,A291)=1,M291="YES",OR(B291="EA",B291="EP"),C291&lt;&gt;"",OR(D291="BL",D291="PJ",D291="LK"),F291&lt;&gt;"",ISNUMBER(I291),J291="t CO2e",K291&lt;&gt;"",L291&lt;&gt;""),"COMPLETE","HOLD: INPUT / EVIDENCE")))</x:f>
      </x:c>
    </x:row>
    <x:row r="292" ht="23" customHeight="1">
      <x:c r="A292" s="38"/>
      <x:c r="B292" s="36"/>
      <x:c r="C292" s="36"/>
      <x:c r="D292" s="36"/>
      <x:c r="E292" s="36"/>
      <x:c r="F292" s="36"/>
      <x:c r="G292" s="36"/>
      <x:c r="H292" s="36"/>
      <x:c r="I292" s="41" t="str">
        <x:f>IF(A292="","",IF(COUNT(G292:H292)=2,G292*H292,""))</x:f>
      </x:c>
      <x:c r="J292" s="36"/>
      <x:c r="K292" s="36"/>
      <x:c r="L292" s="36"/>
      <x:c r="M292" s="36"/>
      <x:c r="N292" s="41" t="str">
        <x:f>IF(A292="","",IF(M292="NO","EXCLUDED",IF(AND(COUNTIF($A$6:$A$305,A292)=1,M292="YES",OR(B292="EA",B292="EP"),C292&lt;&gt;"",OR(D292="BL",D292="PJ",D292="LK"),F292&lt;&gt;"",ISNUMBER(I292),J292="t CO2e",K292&lt;&gt;"",L292&lt;&gt;""),"COMPLETE","HOLD: INPUT / EVIDENCE")))</x:f>
      </x:c>
    </x:row>
    <x:row r="293" ht="23" customHeight="1">
      <x:c r="A293" s="38"/>
      <x:c r="B293" s="36"/>
      <x:c r="C293" s="36"/>
      <x:c r="D293" s="36"/>
      <x:c r="E293" s="36"/>
      <x:c r="F293" s="36"/>
      <x:c r="G293" s="36"/>
      <x:c r="H293" s="36"/>
      <x:c r="I293" s="41" t="str">
        <x:f>IF(A293="","",IF(COUNT(G293:H293)=2,G293*H293,""))</x:f>
      </x:c>
      <x:c r="J293" s="36"/>
      <x:c r="K293" s="36"/>
      <x:c r="L293" s="36"/>
      <x:c r="M293" s="36"/>
      <x:c r="N293" s="41" t="str">
        <x:f>IF(A293="","",IF(M293="NO","EXCLUDED",IF(AND(COUNTIF($A$6:$A$305,A293)=1,M293="YES",OR(B293="EA",B293="EP"),C293&lt;&gt;"",OR(D293="BL",D293="PJ",D293="LK"),F293&lt;&gt;"",ISNUMBER(I293),J293="t CO2e",K293&lt;&gt;"",L293&lt;&gt;""),"COMPLETE","HOLD: INPUT / EVIDENCE")))</x:f>
      </x:c>
    </x:row>
    <x:row r="294" ht="23" customHeight="1">
      <x:c r="A294" s="38"/>
      <x:c r="B294" s="36"/>
      <x:c r="C294" s="36"/>
      <x:c r="D294" s="36"/>
      <x:c r="E294" s="36"/>
      <x:c r="F294" s="36"/>
      <x:c r="G294" s="36"/>
      <x:c r="H294" s="36"/>
      <x:c r="I294" s="41" t="str">
        <x:f>IF(A294="","",IF(COUNT(G294:H294)=2,G294*H294,""))</x:f>
      </x:c>
      <x:c r="J294" s="36"/>
      <x:c r="K294" s="36"/>
      <x:c r="L294" s="36"/>
      <x:c r="M294" s="36"/>
      <x:c r="N294" s="41" t="str">
        <x:f>IF(A294="","",IF(M294="NO","EXCLUDED",IF(AND(COUNTIF($A$6:$A$305,A294)=1,M294="YES",OR(B294="EA",B294="EP"),C294&lt;&gt;"",OR(D294="BL",D294="PJ",D294="LK"),F294&lt;&gt;"",ISNUMBER(I294),J294="t CO2e",K294&lt;&gt;"",L294&lt;&gt;""),"COMPLETE","HOLD: INPUT / EVIDENCE")))</x:f>
      </x:c>
    </x:row>
    <x:row r="295" ht="23" customHeight="1">
      <x:c r="A295" s="38"/>
      <x:c r="B295" s="36"/>
      <x:c r="C295" s="36"/>
      <x:c r="D295" s="36"/>
      <x:c r="E295" s="36"/>
      <x:c r="F295" s="36"/>
      <x:c r="G295" s="36"/>
      <x:c r="H295" s="36"/>
      <x:c r="I295" s="41" t="str">
        <x:f>IF(A295="","",IF(COUNT(G295:H295)=2,G295*H295,""))</x:f>
      </x:c>
      <x:c r="J295" s="36"/>
      <x:c r="K295" s="36"/>
      <x:c r="L295" s="36"/>
      <x:c r="M295" s="36"/>
      <x:c r="N295" s="41" t="str">
        <x:f>IF(A295="","",IF(M295="NO","EXCLUDED",IF(AND(COUNTIF($A$6:$A$305,A295)=1,M295="YES",OR(B295="EA",B295="EP"),C295&lt;&gt;"",OR(D295="BL",D295="PJ",D295="LK"),F295&lt;&gt;"",ISNUMBER(I295),J295="t CO2e",K295&lt;&gt;"",L295&lt;&gt;""),"COMPLETE","HOLD: INPUT / EVIDENCE")))</x:f>
      </x:c>
    </x:row>
    <x:row r="296" ht="23" customHeight="1">
      <x:c r="A296" s="38"/>
      <x:c r="B296" s="36"/>
      <x:c r="C296" s="36"/>
      <x:c r="D296" s="36"/>
      <x:c r="E296" s="36"/>
      <x:c r="F296" s="36"/>
      <x:c r="G296" s="36"/>
      <x:c r="H296" s="36"/>
      <x:c r="I296" s="41" t="str">
        <x:f>IF(A296="","",IF(COUNT(G296:H296)=2,G296*H296,""))</x:f>
      </x:c>
      <x:c r="J296" s="36"/>
      <x:c r="K296" s="36"/>
      <x:c r="L296" s="36"/>
      <x:c r="M296" s="36"/>
      <x:c r="N296" s="41" t="str">
        <x:f>IF(A296="","",IF(M296="NO","EXCLUDED",IF(AND(COUNTIF($A$6:$A$305,A296)=1,M296="YES",OR(B296="EA",B296="EP"),C296&lt;&gt;"",OR(D296="BL",D296="PJ",D296="LK"),F296&lt;&gt;"",ISNUMBER(I296),J296="t CO2e",K296&lt;&gt;"",L296&lt;&gt;""),"COMPLETE","HOLD: INPUT / EVIDENCE")))</x:f>
      </x:c>
    </x:row>
    <x:row r="297" ht="23" customHeight="1">
      <x:c r="A297" s="38"/>
      <x:c r="B297" s="36"/>
      <x:c r="C297" s="36"/>
      <x:c r="D297" s="36"/>
      <x:c r="E297" s="36"/>
      <x:c r="F297" s="36"/>
      <x:c r="G297" s="36"/>
      <x:c r="H297" s="36"/>
      <x:c r="I297" s="41" t="str">
        <x:f>IF(A297="","",IF(COUNT(G297:H297)=2,G297*H297,""))</x:f>
      </x:c>
      <x:c r="J297" s="36"/>
      <x:c r="K297" s="36"/>
      <x:c r="L297" s="36"/>
      <x:c r="M297" s="36"/>
      <x:c r="N297" s="41" t="str">
        <x:f>IF(A297="","",IF(M297="NO","EXCLUDED",IF(AND(COUNTIF($A$6:$A$305,A297)=1,M297="YES",OR(B297="EA",B297="EP"),C297&lt;&gt;"",OR(D297="BL",D297="PJ",D297="LK"),F297&lt;&gt;"",ISNUMBER(I297),J297="t CO2e",K297&lt;&gt;"",L297&lt;&gt;""),"COMPLETE","HOLD: INPUT / EVIDENCE")))</x:f>
      </x:c>
    </x:row>
    <x:row r="298" ht="23" customHeight="1">
      <x:c r="A298" s="38"/>
      <x:c r="B298" s="36"/>
      <x:c r="C298" s="36"/>
      <x:c r="D298" s="36"/>
      <x:c r="E298" s="36"/>
      <x:c r="F298" s="36"/>
      <x:c r="G298" s="36"/>
      <x:c r="H298" s="36"/>
      <x:c r="I298" s="41" t="str">
        <x:f>IF(A298="","",IF(COUNT(G298:H298)=2,G298*H298,""))</x:f>
      </x:c>
      <x:c r="J298" s="36"/>
      <x:c r="K298" s="36"/>
      <x:c r="L298" s="36"/>
      <x:c r="M298" s="36"/>
      <x:c r="N298" s="41" t="str">
        <x:f>IF(A298="","",IF(M298="NO","EXCLUDED",IF(AND(COUNTIF($A$6:$A$305,A298)=1,M298="YES",OR(B298="EA",B298="EP"),C298&lt;&gt;"",OR(D298="BL",D298="PJ",D298="LK"),F298&lt;&gt;"",ISNUMBER(I298),J298="t CO2e",K298&lt;&gt;"",L298&lt;&gt;""),"COMPLETE","HOLD: INPUT / EVIDENCE")))</x:f>
      </x:c>
    </x:row>
    <x:row r="299" ht="23" customHeight="1">
      <x:c r="A299" s="38"/>
      <x:c r="B299" s="36"/>
      <x:c r="C299" s="36"/>
      <x:c r="D299" s="36"/>
      <x:c r="E299" s="36"/>
      <x:c r="F299" s="36"/>
      <x:c r="G299" s="36"/>
      <x:c r="H299" s="36"/>
      <x:c r="I299" s="41" t="str">
        <x:f>IF(A299="","",IF(COUNT(G299:H299)=2,G299*H299,""))</x:f>
      </x:c>
      <x:c r="J299" s="36"/>
      <x:c r="K299" s="36"/>
      <x:c r="L299" s="36"/>
      <x:c r="M299" s="36"/>
      <x:c r="N299" s="41" t="str">
        <x:f>IF(A299="","",IF(M299="NO","EXCLUDED",IF(AND(COUNTIF($A$6:$A$305,A299)=1,M299="YES",OR(B299="EA",B299="EP"),C299&lt;&gt;"",OR(D299="BL",D299="PJ",D299="LK"),F299&lt;&gt;"",ISNUMBER(I299),J299="t CO2e",K299&lt;&gt;"",L299&lt;&gt;""),"COMPLETE","HOLD: INPUT / EVIDENCE")))</x:f>
      </x:c>
    </x:row>
    <x:row r="300" ht="23" customHeight="1">
      <x:c r="A300" s="38"/>
      <x:c r="B300" s="36"/>
      <x:c r="C300" s="36"/>
      <x:c r="D300" s="36"/>
      <x:c r="E300" s="36"/>
      <x:c r="F300" s="36"/>
      <x:c r="G300" s="36"/>
      <x:c r="H300" s="36"/>
      <x:c r="I300" s="41" t="str">
        <x:f>IF(A300="","",IF(COUNT(G300:H300)=2,G300*H300,""))</x:f>
      </x:c>
      <x:c r="J300" s="36"/>
      <x:c r="K300" s="36"/>
      <x:c r="L300" s="36"/>
      <x:c r="M300" s="36"/>
      <x:c r="N300" s="41" t="str">
        <x:f>IF(A300="","",IF(M300="NO","EXCLUDED",IF(AND(COUNTIF($A$6:$A$305,A300)=1,M300="YES",OR(B300="EA",B300="EP"),C300&lt;&gt;"",OR(D300="BL",D300="PJ",D300="LK"),F300&lt;&gt;"",ISNUMBER(I300),J300="t CO2e",K300&lt;&gt;"",L300&lt;&gt;""),"COMPLETE","HOLD: INPUT / EVIDENCE")))</x:f>
      </x:c>
    </x:row>
    <x:row r="301" ht="23" customHeight="1">
      <x:c r="A301" s="38"/>
      <x:c r="B301" s="36"/>
      <x:c r="C301" s="36"/>
      <x:c r="D301" s="36"/>
      <x:c r="E301" s="36"/>
      <x:c r="F301" s="36"/>
      <x:c r="G301" s="36"/>
      <x:c r="H301" s="36"/>
      <x:c r="I301" s="41" t="str">
        <x:f>IF(A301="","",IF(COUNT(G301:H301)=2,G301*H301,""))</x:f>
      </x:c>
      <x:c r="J301" s="36"/>
      <x:c r="K301" s="36"/>
      <x:c r="L301" s="36"/>
      <x:c r="M301" s="36"/>
      <x:c r="N301" s="41" t="str">
        <x:f>IF(A301="","",IF(M301="NO","EXCLUDED",IF(AND(COUNTIF($A$6:$A$305,A301)=1,M301="YES",OR(B301="EA",B301="EP"),C301&lt;&gt;"",OR(D301="BL",D301="PJ",D301="LK"),F301&lt;&gt;"",ISNUMBER(I301),J301="t CO2e",K301&lt;&gt;"",L301&lt;&gt;""),"COMPLETE","HOLD: INPUT / EVIDENCE")))</x:f>
      </x:c>
    </x:row>
    <x:row r="302" ht="23" customHeight="1">
      <x:c r="A302" s="38"/>
      <x:c r="B302" s="36"/>
      <x:c r="C302" s="36"/>
      <x:c r="D302" s="36"/>
      <x:c r="E302" s="36"/>
      <x:c r="F302" s="36"/>
      <x:c r="G302" s="36"/>
      <x:c r="H302" s="36"/>
      <x:c r="I302" s="41" t="str">
        <x:f>IF(A302="","",IF(COUNT(G302:H302)=2,G302*H302,""))</x:f>
      </x:c>
      <x:c r="J302" s="36"/>
      <x:c r="K302" s="36"/>
      <x:c r="L302" s="36"/>
      <x:c r="M302" s="36"/>
      <x:c r="N302" s="41" t="str">
        <x:f>IF(A302="","",IF(M302="NO","EXCLUDED",IF(AND(COUNTIF($A$6:$A$305,A302)=1,M302="YES",OR(B302="EA",B302="EP"),C302&lt;&gt;"",OR(D302="BL",D302="PJ",D302="LK"),F302&lt;&gt;"",ISNUMBER(I302),J302="t CO2e",K302&lt;&gt;"",L302&lt;&gt;""),"COMPLETE","HOLD: INPUT / EVIDENCE")))</x:f>
      </x:c>
    </x:row>
    <x:row r="303" ht="23" customHeight="1">
      <x:c r="A303" s="38"/>
      <x:c r="B303" s="36"/>
      <x:c r="C303" s="36"/>
      <x:c r="D303" s="36"/>
      <x:c r="E303" s="36"/>
      <x:c r="F303" s="36"/>
      <x:c r="G303" s="36"/>
      <x:c r="H303" s="36"/>
      <x:c r="I303" s="41" t="str">
        <x:f>IF(A303="","",IF(COUNT(G303:H303)=2,G303*H303,""))</x:f>
      </x:c>
      <x:c r="J303" s="36"/>
      <x:c r="K303" s="36"/>
      <x:c r="L303" s="36"/>
      <x:c r="M303" s="36"/>
      <x:c r="N303" s="41" t="str">
        <x:f>IF(A303="","",IF(M303="NO","EXCLUDED",IF(AND(COUNTIF($A$6:$A$305,A303)=1,M303="YES",OR(B303="EA",B303="EP"),C303&lt;&gt;"",OR(D303="BL",D303="PJ",D303="LK"),F303&lt;&gt;"",ISNUMBER(I303),J303="t CO2e",K303&lt;&gt;"",L303&lt;&gt;""),"COMPLETE","HOLD: INPUT / EVIDENCE")))</x:f>
      </x:c>
    </x:row>
    <x:row r="304" ht="23" customHeight="1">
      <x:c r="A304" s="38"/>
      <x:c r="B304" s="36"/>
      <x:c r="C304" s="36"/>
      <x:c r="D304" s="36"/>
      <x:c r="E304" s="36"/>
      <x:c r="F304" s="36"/>
      <x:c r="G304" s="36"/>
      <x:c r="H304" s="36"/>
      <x:c r="I304" s="41" t="str">
        <x:f>IF(A304="","",IF(COUNT(G304:H304)=2,G304*H304,""))</x:f>
      </x:c>
      <x:c r="J304" s="36"/>
      <x:c r="K304" s="36"/>
      <x:c r="L304" s="36"/>
      <x:c r="M304" s="36"/>
      <x:c r="N304" s="41" t="str">
        <x:f>IF(A304="","",IF(M304="NO","EXCLUDED",IF(AND(COUNTIF($A$6:$A$305,A304)=1,M304="YES",OR(B304="EA",B304="EP"),C304&lt;&gt;"",OR(D304="BL",D304="PJ",D304="LK"),F304&lt;&gt;"",ISNUMBER(I304),J304="t CO2e",K304&lt;&gt;"",L304&lt;&gt;""),"COMPLETE","HOLD: INPUT / EVIDENCE")))</x:f>
      </x:c>
    </x:row>
    <x:row r="305" ht="23" customHeight="1">
      <x:c r="A305" s="38"/>
      <x:c r="B305" s="36"/>
      <x:c r="C305" s="36"/>
      <x:c r="D305" s="36"/>
      <x:c r="E305" s="36"/>
      <x:c r="F305" s="36"/>
      <x:c r="G305" s="36"/>
      <x:c r="H305" s="36"/>
      <x:c r="I305" s="41" t="str">
        <x:f>IF(A305="","",IF(COUNT(G305:H305)=2,G305*H305,""))</x:f>
      </x:c>
      <x:c r="J305" s="36"/>
      <x:c r="K305" s="36"/>
      <x:c r="L305" s="36"/>
      <x:c r="M305" s="36"/>
      <x:c r="N305" s="41" t="str">
        <x:f>IF(A305="","",IF(M305="NO","EXCLUDED",IF(AND(COUNTIF($A$6:$A$305,A305)=1,M305="YES",OR(B305="EA",B305="EP"),C305&lt;&gt;"",OR(D305="BL",D305="PJ",D305="LK"),F305&lt;&gt;"",ISNUMBER(I305),J305="t CO2e",K305&lt;&gt;"",L305&lt;&gt;""),"COMPLETE","HOLD: INPUT / EVIDENCE")))</x:f>
      </x:c>
    </x:row>
  </x:sheetData>
  <x:mergeCells>
    <x:mergeCell ref="A1:N2"/>
    <x:mergeCell ref="A3:N4"/>
  </x:mergeCells>
  <x:conditionalFormatting sqref="N6:N305">
    <x:cfRule type="expression" dxfId="2" priority="1">
      <x:formula>LEFT(N6,4)="HOLD"</x:formula>
    </x:cfRule>
  </x:conditionalFormatting>
  <x:dataValidations count="5">
    <x:dataValidation type="list" sqref="B6:B305">
      <x:formula1>"EA,EP"</x:formula1>
    </x:dataValidation>
    <x:dataValidation type="list" sqref="D6:D305">
      <x:formula1>"BL,PJ,LK"</x:formula1>
    </x:dataValidation>
    <x:dataValidation type="list" sqref="J6:J305">
      <x:formula1>"t CO2e"</x:formula1>
    </x:dataValidation>
    <x:dataValidation type="list" sqref="K6:K305">
      <x:formula1>"OBSERVED,MODELED,ASSUMED,REPORTED,OVV_ASSESSED"</x:formula1>
    </x:dataValidation>
    <x:dataValidation type="list" sqref="M6:M305">
      <x:formula1>"YES,NO"</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23" customHeight="1">
      <x:c r="A1" s="21" t="str">
        <x:v>Ex-ante forecast account</x:v>
      </x:c>
      <x:c r="B1" s="21"/>
      <x:c r="C1" s="21"/>
      <x:c r="D1" s="21"/>
      <x:c r="E1" s="21"/>
      <x:c r="F1" s="21"/>
      <x:c r="G1" s="21"/>
      <x:c r="H1" s="21"/>
      <x:c r="I1" s="21"/>
      <x:c r="J1" s="21"/>
      <x:c r="K1" s="21"/>
      <x:c r="L1" s="21"/>
      <x:c r="M1" s="21"/>
      <x:c r="N1" s="21"/>
      <x:c r="O1" s="21"/>
      <x:c r="P1" s="21"/>
    </x:row>
    <x:row r="2" ht="23" customHeight="1">
      <x:c r="A2" s="21"/>
      <x:c r="B2" s="21"/>
      <x:c r="C2" s="21"/>
      <x:c r="D2" s="21"/>
      <x:c r="E2" s="21"/>
      <x:c r="F2" s="21"/>
      <x:c r="G2" s="21"/>
      <x:c r="H2" s="21"/>
      <x:c r="I2" s="21"/>
      <x:c r="J2" s="21"/>
      <x:c r="K2" s="21"/>
      <x:c r="L2" s="21"/>
      <x:c r="M2" s="21"/>
      <x:c r="N2" s="21"/>
      <x:c r="O2" s="21"/>
      <x:c r="P2" s="21"/>
    </x:row>
    <x:row r="3" ht="23" customHeight="1">
      <x:c r="A3" s="25" t="str">
        <x:v>Each of BL, PJ and LK needs at least one included, evidenced component (including justified zero). Bound/deduction is provided by the applicable uncertainty assessment; it is not inferred here.</x:v>
      </x:c>
      <x:c r="B3" s="25"/>
      <x:c r="C3" s="25"/>
      <x:c r="D3" s="25"/>
      <x:c r="E3" s="25"/>
      <x:c r="F3" s="25"/>
      <x:c r="G3" s="25"/>
      <x:c r="H3" s="25"/>
      <x:c r="I3" s="25"/>
      <x:c r="J3" s="25"/>
      <x:c r="K3" s="25"/>
      <x:c r="L3" s="25"/>
      <x:c r="M3" s="25"/>
      <x:c r="N3" s="25"/>
      <x:c r="O3" s="25"/>
      <x:c r="P3" s="25"/>
    </x:row>
    <x:row r="4" ht="23" customHeight="1">
      <x:c r="A4" s="25"/>
      <x:c r="B4" s="25"/>
      <x:c r="C4" s="25"/>
      <x:c r="D4" s="25"/>
      <x:c r="E4" s="25"/>
      <x:c r="F4" s="25"/>
      <x:c r="G4" s="25"/>
      <x:c r="H4" s="25"/>
      <x:c r="I4" s="25"/>
      <x:c r="J4" s="25"/>
      <x:c r="K4" s="25"/>
      <x:c r="L4" s="25"/>
      <x:c r="M4" s="25"/>
      <x:c r="N4" s="25"/>
      <x:c r="O4" s="25"/>
      <x:c r="P4" s="25"/>
    </x:row>
    <x:row r="5" ht="80" customHeight="1">
      <x:c r="A5" s="29" t="str">
        <x:v>Period key</x:v>
      </x:c>
      <x:c r="B5" s="29" t="str">
        <x:v>Start</x:v>
      </x:c>
      <x:c r="C5" s="29" t="str">
        <x:v>End</x:v>
      </x:c>
      <x:c r="D5" s="29" t="str">
        <x:v>Scope reference</x:v>
      </x:c>
      <x:c r="E5" s="29" t="str">
        <x:v>Coverage confirmed</x:v>
      </x:c>
      <x:c r="F5" s="29" t="str">
        <x:v>Baseline t CO2e
N_BL,t^EA
[t CO2e/period]</x:v>
      </x:c>
      <x:c r="G5" s="29" t="str">
        <x:v>Project t CO2e
N_PJ,t^EA
[t CO2e/period]</x:v>
      </x:c>
      <x:c r="H5" s="29" t="str">
        <x:v>Leakage t CO2e
L_t^EA
[t CO2e/period]</x:v>
      </x:c>
      <x:c r="I5" s="29" t="str">
        <x:v>Net result Q_hat
Q_hat,t^EA
[t CO2e/period]</x:v>
      </x:c>
      <x:c r="J5" s="29" t="str">
        <x:v>Uncertainty route</x:v>
      </x:c>
      <x:c r="K5" s="29" t="str">
        <x:v>Deduction or bound
delta_t OR q_bound,t
[t CO2e/period]</x:v>
      </x:c>
      <x:c r="L5" s="29" t="str">
        <x:v>Conservative Q_low
Q_low,t^EA
[t CO2e/period]</x:v>
      </x:c>
      <x:c r="M5" s="29" t="str">
        <x:v>Planned opening liability
D_plan,t
[t CO2e]</x:v>
      </x:c>
      <x:c r="N5" s="29" t="str">
        <x:v>Planned new reserve
B_plan,t
[t CO2e]</x:v>
      </x:c>
      <x:c r="O5" s="29" t="str">
        <x:v>Projected available mass
J_plan,t
[t CO2e]</x:v>
      </x:c>
      <x:c r="P5" s="29" t="str">
        <x:v>Check</x:v>
      </x:c>
    </x:row>
    <x:row r="6" ht="23" customHeight="1">
      <x:c r="A6" s="38"/>
      <x:c r="B6" s="36"/>
      <x:c r="C6" s="36"/>
      <x:c r="D6" s="36"/>
      <x:c r="E6" s="36"/>
      <x:c r="F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BL",Components!$M$6:$M$305,"YES"),""))</x:f>
      </x:c>
      <x:c r="G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PJ",Components!$M$6:$M$305,"YES"),""))</x:f>
      </x:c>
      <x:c r="H6" s="41" t="str">
        <x:f>IF(A6="","",IF(AND(COUNTIFS(Components!$B$6:$B$305,"EA",Components!$C$6:$C$305,A6,Components!$D$6:$D$305,"BL",Components!$M$6:$M$305,"YES")&gt;0,COUNTIFS(Components!$B$6:$B$305,"EA",Components!$C$6:$C$305,A6,Components!$D$6:$D$305,"PJ",Components!$M$6:$M$305,"YES")&gt;0,COUNTIFS(Components!$B$6:$B$305,"EA",Components!$C$6:$C$305,A6,Components!$D$6:$D$305,"LK",Components!$M$6:$M$305,"YES")&gt;0,COUNTIFS(Components!$B$6:$B$305,"EA",Components!$C$6:$C$305,A6,Components!$M$6:$M$305,"YES",Components!$N$6:$N$305,"&lt;&gt;COMPLETE")=0),SUMIFS(Components!$I$6:$I$305,Components!$B$6:$B$305,"EA",Components!$C$6:$C$305,A6,Components!$D$6:$D$305,"LK",Components!$M$6:$M$305,"YES"),""))</x:f>
      </x:c>
      <x:c r="I6" s="41" t="str">
        <x:f>IF(COUNT(F6:H6)=3,F6-G6-H6,"")</x:f>
      </x:c>
      <x:c r="J6" s="36"/>
      <x:c r="K6" s="36"/>
      <x:c r="L6" s="41" t="str">
        <x:f>IF(COUNT(I6,K6)=2,IF(J6="DEDUCTION",IF(K6&gt;=0,I6-K6,""),IF(J6="BOUND",IF(K6&lt;=I6+Profile!$B$18,K6,""),"")),"")</x:f>
      </x:c>
      <x:c r="M6" s="36"/>
      <x:c r="N6" s="36"/>
      <x:c r="O6" s="41" t="str">
        <x:f>IF(COUNT(L6:N6)=3,IF(AND(M6&gt;=0,N6&gt;=0),MAX(0,L6-M6)-N6,""),"")</x:f>
      </x:c>
      <x:c r="P6" s="41" t="str">
        <x:f>IF(A6="","",IF(AND(COUNTIF($A$6:$A$55,A6)=1,B6&lt;&gt;"",C6&lt;&gt;"",D6&lt;&gt;"",E6="YES",ISNUMBER(L6),AND(ISNUMBER(O6),O6&gt;=0)),"CALCULATED - EA","HOLD: COMPLETE ACCOUNT"))</x:f>
      </x:c>
    </x:row>
    <x:row r="7" ht="23" customHeight="1">
      <x:c r="A7" s="38"/>
      <x:c r="B7" s="36"/>
      <x:c r="C7" s="36"/>
      <x:c r="D7" s="36"/>
      <x:c r="E7" s="36"/>
      <x:c r="F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BL",Components!$M$6:$M$305,"YES"),""))</x:f>
      </x:c>
      <x:c r="G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PJ",Components!$M$6:$M$305,"YES"),""))</x:f>
      </x:c>
      <x:c r="H7" s="41" t="str">
        <x:f>IF(A7="","",IF(AND(COUNTIFS(Components!$B$6:$B$305,"EA",Components!$C$6:$C$305,A7,Components!$D$6:$D$305,"BL",Components!$M$6:$M$305,"YES")&gt;0,COUNTIFS(Components!$B$6:$B$305,"EA",Components!$C$6:$C$305,A7,Components!$D$6:$D$305,"PJ",Components!$M$6:$M$305,"YES")&gt;0,COUNTIFS(Components!$B$6:$B$305,"EA",Components!$C$6:$C$305,A7,Components!$D$6:$D$305,"LK",Components!$M$6:$M$305,"YES")&gt;0,COUNTIFS(Components!$B$6:$B$305,"EA",Components!$C$6:$C$305,A7,Components!$M$6:$M$305,"YES",Components!$N$6:$N$305,"&lt;&gt;COMPLETE")=0),SUMIFS(Components!$I$6:$I$305,Components!$B$6:$B$305,"EA",Components!$C$6:$C$305,A7,Components!$D$6:$D$305,"LK",Components!$M$6:$M$305,"YES"),""))</x:f>
      </x:c>
      <x:c r="I7" s="41" t="str">
        <x:f>IF(COUNT(F7:H7)=3,F7-G7-H7,"")</x:f>
      </x:c>
      <x:c r="J7" s="36"/>
      <x:c r="K7" s="36"/>
      <x:c r="L7" s="41" t="str">
        <x:f>IF(COUNT(I7,K7)=2,IF(J7="DEDUCTION",IF(K7&gt;=0,I7-K7,""),IF(J7="BOUND",IF(K7&lt;=I7+Profile!$B$18,K7,""),"")),"")</x:f>
      </x:c>
      <x:c r="M7" s="36"/>
      <x:c r="N7" s="36"/>
      <x:c r="O7" s="41" t="str">
        <x:f>IF(COUNT(L7:N7)=3,IF(AND(M7&gt;=0,N7&gt;=0),MAX(0,L7-M7)-N7,""),"")</x:f>
      </x:c>
      <x:c r="P7" s="41" t="str">
        <x:f>IF(A7="","",IF(AND(COUNTIF($A$6:$A$55,A7)=1,B7&lt;&gt;"",C7&lt;&gt;"",D7&lt;&gt;"",E7="YES",ISNUMBER(L7),AND(ISNUMBER(O7),O7&gt;=0)),"CALCULATED - EA","HOLD: COMPLETE ACCOUNT"))</x:f>
      </x:c>
    </x:row>
    <x:row r="8" ht="23" customHeight="1">
      <x:c r="A8" s="38"/>
      <x:c r="B8" s="36"/>
      <x:c r="C8" s="36"/>
      <x:c r="D8" s="36"/>
      <x:c r="E8" s="36"/>
      <x:c r="F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BL",Components!$M$6:$M$305,"YES"),""))</x:f>
      </x:c>
      <x:c r="G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PJ",Components!$M$6:$M$305,"YES"),""))</x:f>
      </x:c>
      <x:c r="H8" s="41" t="str">
        <x:f>IF(A8="","",IF(AND(COUNTIFS(Components!$B$6:$B$305,"EA",Components!$C$6:$C$305,A8,Components!$D$6:$D$305,"BL",Components!$M$6:$M$305,"YES")&gt;0,COUNTIFS(Components!$B$6:$B$305,"EA",Components!$C$6:$C$305,A8,Components!$D$6:$D$305,"PJ",Components!$M$6:$M$305,"YES")&gt;0,COUNTIFS(Components!$B$6:$B$305,"EA",Components!$C$6:$C$305,A8,Components!$D$6:$D$305,"LK",Components!$M$6:$M$305,"YES")&gt;0,COUNTIFS(Components!$B$6:$B$305,"EA",Components!$C$6:$C$305,A8,Components!$M$6:$M$305,"YES",Components!$N$6:$N$305,"&lt;&gt;COMPLETE")=0),SUMIFS(Components!$I$6:$I$305,Components!$B$6:$B$305,"EA",Components!$C$6:$C$305,A8,Components!$D$6:$D$305,"LK",Components!$M$6:$M$305,"YES"),""))</x:f>
      </x:c>
      <x:c r="I8" s="41" t="str">
        <x:f>IF(COUNT(F8:H8)=3,F8-G8-H8,"")</x:f>
      </x:c>
      <x:c r="J8" s="36"/>
      <x:c r="K8" s="36"/>
      <x:c r="L8" s="41" t="str">
        <x:f>IF(COUNT(I8,K8)=2,IF(J8="DEDUCTION",IF(K8&gt;=0,I8-K8,""),IF(J8="BOUND",IF(K8&lt;=I8+Profile!$B$18,K8,""),"")),"")</x:f>
      </x:c>
      <x:c r="M8" s="36"/>
      <x:c r="N8" s="36"/>
      <x:c r="O8" s="41" t="str">
        <x:f>IF(COUNT(L8:N8)=3,IF(AND(M8&gt;=0,N8&gt;=0),MAX(0,L8-M8)-N8,""),"")</x:f>
      </x:c>
      <x:c r="P8" s="41" t="str">
        <x:f>IF(A8="","",IF(AND(COUNTIF($A$6:$A$55,A8)=1,B8&lt;&gt;"",C8&lt;&gt;"",D8&lt;&gt;"",E8="YES",ISNUMBER(L8),AND(ISNUMBER(O8),O8&gt;=0)),"CALCULATED - EA","HOLD: COMPLETE ACCOUNT"))</x:f>
      </x:c>
    </x:row>
    <x:row r="9" ht="23" customHeight="1">
      <x:c r="A9" s="38"/>
      <x:c r="B9" s="36"/>
      <x:c r="C9" s="36"/>
      <x:c r="D9" s="36"/>
      <x:c r="E9" s="36"/>
      <x:c r="F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BL",Components!$M$6:$M$305,"YES"),""))</x:f>
      </x:c>
      <x:c r="G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PJ",Components!$M$6:$M$305,"YES"),""))</x:f>
      </x:c>
      <x:c r="H9" s="41" t="str">
        <x:f>IF(A9="","",IF(AND(COUNTIFS(Components!$B$6:$B$305,"EA",Components!$C$6:$C$305,A9,Components!$D$6:$D$305,"BL",Components!$M$6:$M$305,"YES")&gt;0,COUNTIFS(Components!$B$6:$B$305,"EA",Components!$C$6:$C$305,A9,Components!$D$6:$D$305,"PJ",Components!$M$6:$M$305,"YES")&gt;0,COUNTIFS(Components!$B$6:$B$305,"EA",Components!$C$6:$C$305,A9,Components!$D$6:$D$305,"LK",Components!$M$6:$M$305,"YES")&gt;0,COUNTIFS(Components!$B$6:$B$305,"EA",Components!$C$6:$C$305,A9,Components!$M$6:$M$305,"YES",Components!$N$6:$N$305,"&lt;&gt;COMPLETE")=0),SUMIFS(Components!$I$6:$I$305,Components!$B$6:$B$305,"EA",Components!$C$6:$C$305,A9,Components!$D$6:$D$305,"LK",Components!$M$6:$M$305,"YES"),""))</x:f>
      </x:c>
      <x:c r="I9" s="41" t="str">
        <x:f>IF(COUNT(F9:H9)=3,F9-G9-H9,"")</x:f>
      </x:c>
      <x:c r="J9" s="36"/>
      <x:c r="K9" s="36"/>
      <x:c r="L9" s="41" t="str">
        <x:f>IF(COUNT(I9,K9)=2,IF(J9="DEDUCTION",IF(K9&gt;=0,I9-K9,""),IF(J9="BOUND",IF(K9&lt;=I9+Profile!$B$18,K9,""),"")),"")</x:f>
      </x:c>
      <x:c r="M9" s="36"/>
      <x:c r="N9" s="36"/>
      <x:c r="O9" s="41" t="str">
        <x:f>IF(COUNT(L9:N9)=3,IF(AND(M9&gt;=0,N9&gt;=0),MAX(0,L9-M9)-N9,""),"")</x:f>
      </x:c>
      <x:c r="P9" s="41" t="str">
        <x:f>IF(A9="","",IF(AND(COUNTIF($A$6:$A$55,A9)=1,B9&lt;&gt;"",C9&lt;&gt;"",D9&lt;&gt;"",E9="YES",ISNUMBER(L9),AND(ISNUMBER(O9),O9&gt;=0)),"CALCULATED - EA","HOLD: COMPLETE ACCOUNT"))</x:f>
      </x:c>
    </x:row>
    <x:row r="10" ht="23" customHeight="1">
      <x:c r="A10" s="38"/>
      <x:c r="B10" s="36"/>
      <x:c r="C10" s="36"/>
      <x:c r="D10" s="36"/>
      <x:c r="E10" s="36"/>
      <x:c r="F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BL",Components!$M$6:$M$305,"YES"),""))</x:f>
      </x:c>
      <x:c r="G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PJ",Components!$M$6:$M$305,"YES"),""))</x:f>
      </x:c>
      <x:c r="H10" s="41" t="str">
        <x:f>IF(A10="","",IF(AND(COUNTIFS(Components!$B$6:$B$305,"EA",Components!$C$6:$C$305,A10,Components!$D$6:$D$305,"BL",Components!$M$6:$M$305,"YES")&gt;0,COUNTIFS(Components!$B$6:$B$305,"EA",Components!$C$6:$C$305,A10,Components!$D$6:$D$305,"PJ",Components!$M$6:$M$305,"YES")&gt;0,COUNTIFS(Components!$B$6:$B$305,"EA",Components!$C$6:$C$305,A10,Components!$D$6:$D$305,"LK",Components!$M$6:$M$305,"YES")&gt;0,COUNTIFS(Components!$B$6:$B$305,"EA",Components!$C$6:$C$305,A10,Components!$M$6:$M$305,"YES",Components!$N$6:$N$305,"&lt;&gt;COMPLETE")=0),SUMIFS(Components!$I$6:$I$305,Components!$B$6:$B$305,"EA",Components!$C$6:$C$305,A10,Components!$D$6:$D$305,"LK",Components!$M$6:$M$305,"YES"),""))</x:f>
      </x:c>
      <x:c r="I10" s="41" t="str">
        <x:f>IF(COUNT(F10:H10)=3,F10-G10-H10,"")</x:f>
      </x:c>
      <x:c r="J10" s="36"/>
      <x:c r="K10" s="36"/>
      <x:c r="L10" s="41" t="str">
        <x:f>IF(COUNT(I10,K10)=2,IF(J10="DEDUCTION",IF(K10&gt;=0,I10-K10,""),IF(J10="BOUND",IF(K10&lt;=I10+Profile!$B$18,K10,""),"")),"")</x:f>
      </x:c>
      <x:c r="M10" s="36"/>
      <x:c r="N10" s="36"/>
      <x:c r="O10" s="41" t="str">
        <x:f>IF(COUNT(L10:N10)=3,IF(AND(M10&gt;=0,N10&gt;=0),MAX(0,L10-M10)-N10,""),"")</x:f>
      </x:c>
      <x:c r="P10" s="41" t="str">
        <x:f>IF(A10="","",IF(AND(COUNTIF($A$6:$A$55,A10)=1,B10&lt;&gt;"",C10&lt;&gt;"",D10&lt;&gt;"",E10="YES",ISNUMBER(L10),AND(ISNUMBER(O10),O10&gt;=0)),"CALCULATED - EA","HOLD: COMPLETE ACCOUNT"))</x:f>
      </x:c>
    </x:row>
    <x:row r="11" ht="23" customHeight="1">
      <x:c r="A11" s="38"/>
      <x:c r="B11" s="36"/>
      <x:c r="C11" s="36"/>
      <x:c r="D11" s="36"/>
      <x:c r="E11" s="36"/>
      <x:c r="F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BL",Components!$M$6:$M$305,"YES"),""))</x:f>
      </x:c>
      <x:c r="G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PJ",Components!$M$6:$M$305,"YES"),""))</x:f>
      </x:c>
      <x:c r="H11" s="41" t="str">
        <x:f>IF(A11="","",IF(AND(COUNTIFS(Components!$B$6:$B$305,"EA",Components!$C$6:$C$305,A11,Components!$D$6:$D$305,"BL",Components!$M$6:$M$305,"YES")&gt;0,COUNTIFS(Components!$B$6:$B$305,"EA",Components!$C$6:$C$305,A11,Components!$D$6:$D$305,"PJ",Components!$M$6:$M$305,"YES")&gt;0,COUNTIFS(Components!$B$6:$B$305,"EA",Components!$C$6:$C$305,A11,Components!$D$6:$D$305,"LK",Components!$M$6:$M$305,"YES")&gt;0,COUNTIFS(Components!$B$6:$B$305,"EA",Components!$C$6:$C$305,A11,Components!$M$6:$M$305,"YES",Components!$N$6:$N$305,"&lt;&gt;COMPLETE")=0),SUMIFS(Components!$I$6:$I$305,Components!$B$6:$B$305,"EA",Components!$C$6:$C$305,A11,Components!$D$6:$D$305,"LK",Components!$M$6:$M$305,"YES"),""))</x:f>
      </x:c>
      <x:c r="I11" s="41" t="str">
        <x:f>IF(COUNT(F11:H11)=3,F11-G11-H11,"")</x:f>
      </x:c>
      <x:c r="J11" s="36"/>
      <x:c r="K11" s="36"/>
      <x:c r="L11" s="41" t="str">
        <x:f>IF(COUNT(I11,K11)=2,IF(J11="DEDUCTION",IF(K11&gt;=0,I11-K11,""),IF(J11="BOUND",IF(K11&lt;=I11+Profile!$B$18,K11,""),"")),"")</x:f>
      </x:c>
      <x:c r="M11" s="36"/>
      <x:c r="N11" s="36"/>
      <x:c r="O11" s="41" t="str">
        <x:f>IF(COUNT(L11:N11)=3,IF(AND(M11&gt;=0,N11&gt;=0),MAX(0,L11-M11)-N11,""),"")</x:f>
      </x:c>
      <x:c r="P11" s="41" t="str">
        <x:f>IF(A11="","",IF(AND(COUNTIF($A$6:$A$55,A11)=1,B11&lt;&gt;"",C11&lt;&gt;"",D11&lt;&gt;"",E11="YES",ISNUMBER(L11),AND(ISNUMBER(O11),O11&gt;=0)),"CALCULATED - EA","HOLD: COMPLETE ACCOUNT"))</x:f>
      </x:c>
    </x:row>
    <x:row r="12" ht="23" customHeight="1">
      <x:c r="A12" s="38"/>
      <x:c r="B12" s="36"/>
      <x:c r="C12" s="36"/>
      <x:c r="D12" s="36"/>
      <x:c r="E12" s="36"/>
      <x:c r="F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BL",Components!$M$6:$M$305,"YES"),""))</x:f>
      </x:c>
      <x:c r="G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PJ",Components!$M$6:$M$305,"YES"),""))</x:f>
      </x:c>
      <x:c r="H12" s="41" t="str">
        <x:f>IF(A12="","",IF(AND(COUNTIFS(Components!$B$6:$B$305,"EA",Components!$C$6:$C$305,A12,Components!$D$6:$D$305,"BL",Components!$M$6:$M$305,"YES")&gt;0,COUNTIFS(Components!$B$6:$B$305,"EA",Components!$C$6:$C$305,A12,Components!$D$6:$D$305,"PJ",Components!$M$6:$M$305,"YES")&gt;0,COUNTIFS(Components!$B$6:$B$305,"EA",Components!$C$6:$C$305,A12,Components!$D$6:$D$305,"LK",Components!$M$6:$M$305,"YES")&gt;0,COUNTIFS(Components!$B$6:$B$305,"EA",Components!$C$6:$C$305,A12,Components!$M$6:$M$305,"YES",Components!$N$6:$N$305,"&lt;&gt;COMPLETE")=0),SUMIFS(Components!$I$6:$I$305,Components!$B$6:$B$305,"EA",Components!$C$6:$C$305,A12,Components!$D$6:$D$305,"LK",Components!$M$6:$M$305,"YES"),""))</x:f>
      </x:c>
      <x:c r="I12" s="41" t="str">
        <x:f>IF(COUNT(F12:H12)=3,F12-G12-H12,"")</x:f>
      </x:c>
      <x:c r="J12" s="36"/>
      <x:c r="K12" s="36"/>
      <x:c r="L12" s="41" t="str">
        <x:f>IF(COUNT(I12,K12)=2,IF(J12="DEDUCTION",IF(K12&gt;=0,I12-K12,""),IF(J12="BOUND",IF(K12&lt;=I12+Profile!$B$18,K12,""),"")),"")</x:f>
      </x:c>
      <x:c r="M12" s="36"/>
      <x:c r="N12" s="36"/>
      <x:c r="O12" s="41" t="str">
        <x:f>IF(COUNT(L12:N12)=3,IF(AND(M12&gt;=0,N12&gt;=0),MAX(0,L12-M12)-N12,""),"")</x:f>
      </x:c>
      <x:c r="P12" s="41" t="str">
        <x:f>IF(A12="","",IF(AND(COUNTIF($A$6:$A$55,A12)=1,B12&lt;&gt;"",C12&lt;&gt;"",D12&lt;&gt;"",E12="YES",ISNUMBER(L12),AND(ISNUMBER(O12),O12&gt;=0)),"CALCULATED - EA","HOLD: COMPLETE ACCOUNT"))</x:f>
      </x:c>
    </x:row>
    <x:row r="13" ht="23" customHeight="1">
      <x:c r="A13" s="38"/>
      <x:c r="B13" s="36"/>
      <x:c r="C13" s="36"/>
      <x:c r="D13" s="36"/>
      <x:c r="E13" s="36"/>
      <x:c r="F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BL",Components!$M$6:$M$305,"YES"),""))</x:f>
      </x:c>
      <x:c r="G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PJ",Components!$M$6:$M$305,"YES"),""))</x:f>
      </x:c>
      <x:c r="H13" s="41" t="str">
        <x:f>IF(A13="","",IF(AND(COUNTIFS(Components!$B$6:$B$305,"EA",Components!$C$6:$C$305,A13,Components!$D$6:$D$305,"BL",Components!$M$6:$M$305,"YES")&gt;0,COUNTIFS(Components!$B$6:$B$305,"EA",Components!$C$6:$C$305,A13,Components!$D$6:$D$305,"PJ",Components!$M$6:$M$305,"YES")&gt;0,COUNTIFS(Components!$B$6:$B$305,"EA",Components!$C$6:$C$305,A13,Components!$D$6:$D$305,"LK",Components!$M$6:$M$305,"YES")&gt;0,COUNTIFS(Components!$B$6:$B$305,"EA",Components!$C$6:$C$305,A13,Components!$M$6:$M$305,"YES",Components!$N$6:$N$305,"&lt;&gt;COMPLETE")=0),SUMIFS(Components!$I$6:$I$305,Components!$B$6:$B$305,"EA",Components!$C$6:$C$305,A13,Components!$D$6:$D$305,"LK",Components!$M$6:$M$305,"YES"),""))</x:f>
      </x:c>
      <x:c r="I13" s="41" t="str">
        <x:f>IF(COUNT(F13:H13)=3,F13-G13-H13,"")</x:f>
      </x:c>
      <x:c r="J13" s="36"/>
      <x:c r="K13" s="36"/>
      <x:c r="L13" s="41" t="str">
        <x:f>IF(COUNT(I13,K13)=2,IF(J13="DEDUCTION",IF(K13&gt;=0,I13-K13,""),IF(J13="BOUND",IF(K13&lt;=I13+Profile!$B$18,K13,""),"")),"")</x:f>
      </x:c>
      <x:c r="M13" s="36"/>
      <x:c r="N13" s="36"/>
      <x:c r="O13" s="41" t="str">
        <x:f>IF(COUNT(L13:N13)=3,IF(AND(M13&gt;=0,N13&gt;=0),MAX(0,L13-M13)-N13,""),"")</x:f>
      </x:c>
      <x:c r="P13" s="41" t="str">
        <x:f>IF(A13="","",IF(AND(COUNTIF($A$6:$A$55,A13)=1,B13&lt;&gt;"",C13&lt;&gt;"",D13&lt;&gt;"",E13="YES",ISNUMBER(L13),AND(ISNUMBER(O13),O13&gt;=0)),"CALCULATED - EA","HOLD: COMPLETE ACCOUNT"))</x:f>
      </x:c>
    </x:row>
    <x:row r="14" ht="23" customHeight="1">
      <x:c r="A14" s="38"/>
      <x:c r="B14" s="36"/>
      <x:c r="C14" s="36"/>
      <x:c r="D14" s="36"/>
      <x:c r="E14" s="36"/>
      <x:c r="F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BL",Components!$M$6:$M$305,"YES"),""))</x:f>
      </x:c>
      <x:c r="G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PJ",Components!$M$6:$M$305,"YES"),""))</x:f>
      </x:c>
      <x:c r="H14" s="41" t="str">
        <x:f>IF(A14="","",IF(AND(COUNTIFS(Components!$B$6:$B$305,"EA",Components!$C$6:$C$305,A14,Components!$D$6:$D$305,"BL",Components!$M$6:$M$305,"YES")&gt;0,COUNTIFS(Components!$B$6:$B$305,"EA",Components!$C$6:$C$305,A14,Components!$D$6:$D$305,"PJ",Components!$M$6:$M$305,"YES")&gt;0,COUNTIFS(Components!$B$6:$B$305,"EA",Components!$C$6:$C$305,A14,Components!$D$6:$D$305,"LK",Components!$M$6:$M$305,"YES")&gt;0,COUNTIFS(Components!$B$6:$B$305,"EA",Components!$C$6:$C$305,A14,Components!$M$6:$M$305,"YES",Components!$N$6:$N$305,"&lt;&gt;COMPLETE")=0),SUMIFS(Components!$I$6:$I$305,Components!$B$6:$B$305,"EA",Components!$C$6:$C$305,A14,Components!$D$6:$D$305,"LK",Components!$M$6:$M$305,"YES"),""))</x:f>
      </x:c>
      <x:c r="I14" s="41" t="str">
        <x:f>IF(COUNT(F14:H14)=3,F14-G14-H14,"")</x:f>
      </x:c>
      <x:c r="J14" s="36"/>
      <x:c r="K14" s="36"/>
      <x:c r="L14" s="41" t="str">
        <x:f>IF(COUNT(I14,K14)=2,IF(J14="DEDUCTION",IF(K14&gt;=0,I14-K14,""),IF(J14="BOUND",IF(K14&lt;=I14+Profile!$B$18,K14,""),"")),"")</x:f>
      </x:c>
      <x:c r="M14" s="36"/>
      <x:c r="N14" s="36"/>
      <x:c r="O14" s="41" t="str">
        <x:f>IF(COUNT(L14:N14)=3,IF(AND(M14&gt;=0,N14&gt;=0),MAX(0,L14-M14)-N14,""),"")</x:f>
      </x:c>
      <x:c r="P14" s="41" t="str">
        <x:f>IF(A14="","",IF(AND(COUNTIF($A$6:$A$55,A14)=1,B14&lt;&gt;"",C14&lt;&gt;"",D14&lt;&gt;"",E14="YES",ISNUMBER(L14),AND(ISNUMBER(O14),O14&gt;=0)),"CALCULATED - EA","HOLD: COMPLETE ACCOUNT"))</x:f>
      </x:c>
    </x:row>
    <x:row r="15" ht="23" customHeight="1">
      <x:c r="A15" s="38"/>
      <x:c r="B15" s="36"/>
      <x:c r="C15" s="36"/>
      <x:c r="D15" s="36"/>
      <x:c r="E15" s="36"/>
      <x:c r="F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BL",Components!$M$6:$M$305,"YES"),""))</x:f>
      </x:c>
      <x:c r="G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PJ",Components!$M$6:$M$305,"YES"),""))</x:f>
      </x:c>
      <x:c r="H15" s="41" t="str">
        <x:f>IF(A15="","",IF(AND(COUNTIFS(Components!$B$6:$B$305,"EA",Components!$C$6:$C$305,A15,Components!$D$6:$D$305,"BL",Components!$M$6:$M$305,"YES")&gt;0,COUNTIFS(Components!$B$6:$B$305,"EA",Components!$C$6:$C$305,A15,Components!$D$6:$D$305,"PJ",Components!$M$6:$M$305,"YES")&gt;0,COUNTIFS(Components!$B$6:$B$305,"EA",Components!$C$6:$C$305,A15,Components!$D$6:$D$305,"LK",Components!$M$6:$M$305,"YES")&gt;0,COUNTIFS(Components!$B$6:$B$305,"EA",Components!$C$6:$C$305,A15,Components!$M$6:$M$305,"YES",Components!$N$6:$N$305,"&lt;&gt;COMPLETE")=0),SUMIFS(Components!$I$6:$I$305,Components!$B$6:$B$305,"EA",Components!$C$6:$C$305,A15,Components!$D$6:$D$305,"LK",Components!$M$6:$M$305,"YES"),""))</x:f>
      </x:c>
      <x:c r="I15" s="41" t="str">
        <x:f>IF(COUNT(F15:H15)=3,F15-G15-H15,"")</x:f>
      </x:c>
      <x:c r="J15" s="36"/>
      <x:c r="K15" s="36"/>
      <x:c r="L15" s="41" t="str">
        <x:f>IF(COUNT(I15,K15)=2,IF(J15="DEDUCTION",IF(K15&gt;=0,I15-K15,""),IF(J15="BOUND",IF(K15&lt;=I15+Profile!$B$18,K15,""),"")),"")</x:f>
      </x:c>
      <x:c r="M15" s="36"/>
      <x:c r="N15" s="36"/>
      <x:c r="O15" s="41" t="str">
        <x:f>IF(COUNT(L15:N15)=3,IF(AND(M15&gt;=0,N15&gt;=0),MAX(0,L15-M15)-N15,""),"")</x:f>
      </x:c>
      <x:c r="P15" s="41" t="str">
        <x:f>IF(A15="","",IF(AND(COUNTIF($A$6:$A$55,A15)=1,B15&lt;&gt;"",C15&lt;&gt;"",D15&lt;&gt;"",E15="YES",ISNUMBER(L15),AND(ISNUMBER(O15),O15&gt;=0)),"CALCULATED - EA","HOLD: COMPLETE ACCOUNT"))</x:f>
      </x:c>
    </x:row>
    <x:row r="16" ht="23" customHeight="1">
      <x:c r="A16" s="38"/>
      <x:c r="B16" s="36"/>
      <x:c r="C16" s="36"/>
      <x:c r="D16" s="36"/>
      <x:c r="E16" s="36"/>
      <x:c r="F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BL",Components!$M$6:$M$305,"YES"),""))</x:f>
      </x:c>
      <x:c r="G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PJ",Components!$M$6:$M$305,"YES"),""))</x:f>
      </x:c>
      <x:c r="H16" s="41" t="str">
        <x:f>IF(A16="","",IF(AND(COUNTIFS(Components!$B$6:$B$305,"EA",Components!$C$6:$C$305,A16,Components!$D$6:$D$305,"BL",Components!$M$6:$M$305,"YES")&gt;0,COUNTIFS(Components!$B$6:$B$305,"EA",Components!$C$6:$C$305,A16,Components!$D$6:$D$305,"PJ",Components!$M$6:$M$305,"YES")&gt;0,COUNTIFS(Components!$B$6:$B$305,"EA",Components!$C$6:$C$305,A16,Components!$D$6:$D$305,"LK",Components!$M$6:$M$305,"YES")&gt;0,COUNTIFS(Components!$B$6:$B$305,"EA",Components!$C$6:$C$305,A16,Components!$M$6:$M$305,"YES",Components!$N$6:$N$305,"&lt;&gt;COMPLETE")=0),SUMIFS(Components!$I$6:$I$305,Components!$B$6:$B$305,"EA",Components!$C$6:$C$305,A16,Components!$D$6:$D$305,"LK",Components!$M$6:$M$305,"YES"),""))</x:f>
      </x:c>
      <x:c r="I16" s="41" t="str">
        <x:f>IF(COUNT(F16:H16)=3,F16-G16-H16,"")</x:f>
      </x:c>
      <x:c r="J16" s="36"/>
      <x:c r="K16" s="36"/>
      <x:c r="L16" s="41" t="str">
        <x:f>IF(COUNT(I16,K16)=2,IF(J16="DEDUCTION",IF(K16&gt;=0,I16-K16,""),IF(J16="BOUND",IF(K16&lt;=I16+Profile!$B$18,K16,""),"")),"")</x:f>
      </x:c>
      <x:c r="M16" s="36"/>
      <x:c r="N16" s="36"/>
      <x:c r="O16" s="41" t="str">
        <x:f>IF(COUNT(L16:N16)=3,IF(AND(M16&gt;=0,N16&gt;=0),MAX(0,L16-M16)-N16,""),"")</x:f>
      </x:c>
      <x:c r="P16" s="41" t="str">
        <x:f>IF(A16="","",IF(AND(COUNTIF($A$6:$A$55,A16)=1,B16&lt;&gt;"",C16&lt;&gt;"",D16&lt;&gt;"",E16="YES",ISNUMBER(L16),AND(ISNUMBER(O16),O16&gt;=0)),"CALCULATED - EA","HOLD: COMPLETE ACCOUNT"))</x:f>
      </x:c>
    </x:row>
    <x:row r="17" ht="23" customHeight="1">
      <x:c r="A17" s="38"/>
      <x:c r="B17" s="36"/>
      <x:c r="C17" s="36"/>
      <x:c r="D17" s="36"/>
      <x:c r="E17" s="36"/>
      <x:c r="F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BL",Components!$M$6:$M$305,"YES"),""))</x:f>
      </x:c>
      <x:c r="G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PJ",Components!$M$6:$M$305,"YES"),""))</x:f>
      </x:c>
      <x:c r="H17" s="41" t="str">
        <x:f>IF(A17="","",IF(AND(COUNTIFS(Components!$B$6:$B$305,"EA",Components!$C$6:$C$305,A17,Components!$D$6:$D$305,"BL",Components!$M$6:$M$305,"YES")&gt;0,COUNTIFS(Components!$B$6:$B$305,"EA",Components!$C$6:$C$305,A17,Components!$D$6:$D$305,"PJ",Components!$M$6:$M$305,"YES")&gt;0,COUNTIFS(Components!$B$6:$B$305,"EA",Components!$C$6:$C$305,A17,Components!$D$6:$D$305,"LK",Components!$M$6:$M$305,"YES")&gt;0,COUNTIFS(Components!$B$6:$B$305,"EA",Components!$C$6:$C$305,A17,Components!$M$6:$M$305,"YES",Components!$N$6:$N$305,"&lt;&gt;COMPLETE")=0),SUMIFS(Components!$I$6:$I$305,Components!$B$6:$B$305,"EA",Components!$C$6:$C$305,A17,Components!$D$6:$D$305,"LK",Components!$M$6:$M$305,"YES"),""))</x:f>
      </x:c>
      <x:c r="I17" s="41" t="str">
        <x:f>IF(COUNT(F17:H17)=3,F17-G17-H17,"")</x:f>
      </x:c>
      <x:c r="J17" s="36"/>
      <x:c r="K17" s="36"/>
      <x:c r="L17" s="41" t="str">
        <x:f>IF(COUNT(I17,K17)=2,IF(J17="DEDUCTION",IF(K17&gt;=0,I17-K17,""),IF(J17="BOUND",IF(K17&lt;=I17+Profile!$B$18,K17,""),"")),"")</x:f>
      </x:c>
      <x:c r="M17" s="36"/>
      <x:c r="N17" s="36"/>
      <x:c r="O17" s="41" t="str">
        <x:f>IF(COUNT(L17:N17)=3,IF(AND(M17&gt;=0,N17&gt;=0),MAX(0,L17-M17)-N17,""),"")</x:f>
      </x:c>
      <x:c r="P17" s="41" t="str">
        <x:f>IF(A17="","",IF(AND(COUNTIF($A$6:$A$55,A17)=1,B17&lt;&gt;"",C17&lt;&gt;"",D17&lt;&gt;"",E17="YES",ISNUMBER(L17),AND(ISNUMBER(O17),O17&gt;=0)),"CALCULATED - EA","HOLD: COMPLETE ACCOUNT"))</x:f>
      </x:c>
    </x:row>
    <x:row r="18" ht="23" customHeight="1">
      <x:c r="A18" s="38"/>
      <x:c r="B18" s="36"/>
      <x:c r="C18" s="36"/>
      <x:c r="D18" s="36"/>
      <x:c r="E18" s="36"/>
      <x:c r="F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BL",Components!$M$6:$M$305,"YES"),""))</x:f>
      </x:c>
      <x:c r="G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PJ",Components!$M$6:$M$305,"YES"),""))</x:f>
      </x:c>
      <x:c r="H18" s="41" t="str">
        <x:f>IF(A18="","",IF(AND(COUNTIFS(Components!$B$6:$B$305,"EA",Components!$C$6:$C$305,A18,Components!$D$6:$D$305,"BL",Components!$M$6:$M$305,"YES")&gt;0,COUNTIFS(Components!$B$6:$B$305,"EA",Components!$C$6:$C$305,A18,Components!$D$6:$D$305,"PJ",Components!$M$6:$M$305,"YES")&gt;0,COUNTIFS(Components!$B$6:$B$305,"EA",Components!$C$6:$C$305,A18,Components!$D$6:$D$305,"LK",Components!$M$6:$M$305,"YES")&gt;0,COUNTIFS(Components!$B$6:$B$305,"EA",Components!$C$6:$C$305,A18,Components!$M$6:$M$305,"YES",Components!$N$6:$N$305,"&lt;&gt;COMPLETE")=0),SUMIFS(Components!$I$6:$I$305,Components!$B$6:$B$305,"EA",Components!$C$6:$C$305,A18,Components!$D$6:$D$305,"LK",Components!$M$6:$M$305,"YES"),""))</x:f>
      </x:c>
      <x:c r="I18" s="41" t="str">
        <x:f>IF(COUNT(F18:H18)=3,F18-G18-H18,"")</x:f>
      </x:c>
      <x:c r="J18" s="36"/>
      <x:c r="K18" s="36"/>
      <x:c r="L18" s="41" t="str">
        <x:f>IF(COUNT(I18,K18)=2,IF(J18="DEDUCTION",IF(K18&gt;=0,I18-K18,""),IF(J18="BOUND",IF(K18&lt;=I18+Profile!$B$18,K18,""),"")),"")</x:f>
      </x:c>
      <x:c r="M18" s="36"/>
      <x:c r="N18" s="36"/>
      <x:c r="O18" s="41" t="str">
        <x:f>IF(COUNT(L18:N18)=3,IF(AND(M18&gt;=0,N18&gt;=0),MAX(0,L18-M18)-N18,""),"")</x:f>
      </x:c>
      <x:c r="P18" s="41" t="str">
        <x:f>IF(A18="","",IF(AND(COUNTIF($A$6:$A$55,A18)=1,B18&lt;&gt;"",C18&lt;&gt;"",D18&lt;&gt;"",E18="YES",ISNUMBER(L18),AND(ISNUMBER(O18),O18&gt;=0)),"CALCULATED - EA","HOLD: COMPLETE ACCOUNT"))</x:f>
      </x:c>
    </x:row>
    <x:row r="19" ht="23" customHeight="1">
      <x:c r="A19" s="38"/>
      <x:c r="B19" s="36"/>
      <x:c r="C19" s="36"/>
      <x:c r="D19" s="36"/>
      <x:c r="E19" s="36"/>
      <x:c r="F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BL",Components!$M$6:$M$305,"YES"),""))</x:f>
      </x:c>
      <x:c r="G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PJ",Components!$M$6:$M$305,"YES"),""))</x:f>
      </x:c>
      <x:c r="H19" s="41" t="str">
        <x:f>IF(A19="","",IF(AND(COUNTIFS(Components!$B$6:$B$305,"EA",Components!$C$6:$C$305,A19,Components!$D$6:$D$305,"BL",Components!$M$6:$M$305,"YES")&gt;0,COUNTIFS(Components!$B$6:$B$305,"EA",Components!$C$6:$C$305,A19,Components!$D$6:$D$305,"PJ",Components!$M$6:$M$305,"YES")&gt;0,COUNTIFS(Components!$B$6:$B$305,"EA",Components!$C$6:$C$305,A19,Components!$D$6:$D$305,"LK",Components!$M$6:$M$305,"YES")&gt;0,COUNTIFS(Components!$B$6:$B$305,"EA",Components!$C$6:$C$305,A19,Components!$M$6:$M$305,"YES",Components!$N$6:$N$305,"&lt;&gt;COMPLETE")=0),SUMIFS(Components!$I$6:$I$305,Components!$B$6:$B$305,"EA",Components!$C$6:$C$305,A19,Components!$D$6:$D$305,"LK",Components!$M$6:$M$305,"YES"),""))</x:f>
      </x:c>
      <x:c r="I19" s="41" t="str">
        <x:f>IF(COUNT(F19:H19)=3,F19-G19-H19,"")</x:f>
      </x:c>
      <x:c r="J19" s="36"/>
      <x:c r="K19" s="36"/>
      <x:c r="L19" s="41" t="str">
        <x:f>IF(COUNT(I19,K19)=2,IF(J19="DEDUCTION",IF(K19&gt;=0,I19-K19,""),IF(J19="BOUND",IF(K19&lt;=I19+Profile!$B$18,K19,""),"")),"")</x:f>
      </x:c>
      <x:c r="M19" s="36"/>
      <x:c r="N19" s="36"/>
      <x:c r="O19" s="41" t="str">
        <x:f>IF(COUNT(L19:N19)=3,IF(AND(M19&gt;=0,N19&gt;=0),MAX(0,L19-M19)-N19,""),"")</x:f>
      </x:c>
      <x:c r="P19" s="41" t="str">
        <x:f>IF(A19="","",IF(AND(COUNTIF($A$6:$A$55,A19)=1,B19&lt;&gt;"",C19&lt;&gt;"",D19&lt;&gt;"",E19="YES",ISNUMBER(L19),AND(ISNUMBER(O19),O19&gt;=0)),"CALCULATED - EA","HOLD: COMPLETE ACCOUNT"))</x:f>
      </x:c>
    </x:row>
    <x:row r="20" ht="23" customHeight="1">
      <x:c r="A20" s="38"/>
      <x:c r="B20" s="36"/>
      <x:c r="C20" s="36"/>
      <x:c r="D20" s="36"/>
      <x:c r="E20" s="36"/>
      <x:c r="F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BL",Components!$M$6:$M$305,"YES"),""))</x:f>
      </x:c>
      <x:c r="G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PJ",Components!$M$6:$M$305,"YES"),""))</x:f>
      </x:c>
      <x:c r="H20" s="41" t="str">
        <x:f>IF(A20="","",IF(AND(COUNTIFS(Components!$B$6:$B$305,"EA",Components!$C$6:$C$305,A20,Components!$D$6:$D$305,"BL",Components!$M$6:$M$305,"YES")&gt;0,COUNTIFS(Components!$B$6:$B$305,"EA",Components!$C$6:$C$305,A20,Components!$D$6:$D$305,"PJ",Components!$M$6:$M$305,"YES")&gt;0,COUNTIFS(Components!$B$6:$B$305,"EA",Components!$C$6:$C$305,A20,Components!$D$6:$D$305,"LK",Components!$M$6:$M$305,"YES")&gt;0,COUNTIFS(Components!$B$6:$B$305,"EA",Components!$C$6:$C$305,A20,Components!$M$6:$M$305,"YES",Components!$N$6:$N$305,"&lt;&gt;COMPLETE")=0),SUMIFS(Components!$I$6:$I$305,Components!$B$6:$B$305,"EA",Components!$C$6:$C$305,A20,Components!$D$6:$D$305,"LK",Components!$M$6:$M$305,"YES"),""))</x:f>
      </x:c>
      <x:c r="I20" s="41" t="str">
        <x:f>IF(COUNT(F20:H20)=3,F20-G20-H20,"")</x:f>
      </x:c>
      <x:c r="J20" s="36"/>
      <x:c r="K20" s="36"/>
      <x:c r="L20" s="41" t="str">
        <x:f>IF(COUNT(I20,K20)=2,IF(J20="DEDUCTION",IF(K20&gt;=0,I20-K20,""),IF(J20="BOUND",IF(K20&lt;=I20+Profile!$B$18,K20,""),"")),"")</x:f>
      </x:c>
      <x:c r="M20" s="36"/>
      <x:c r="N20" s="36"/>
      <x:c r="O20" s="41" t="str">
        <x:f>IF(COUNT(L20:N20)=3,IF(AND(M20&gt;=0,N20&gt;=0),MAX(0,L20-M20)-N20,""),"")</x:f>
      </x:c>
      <x:c r="P20" s="41" t="str">
        <x:f>IF(A20="","",IF(AND(COUNTIF($A$6:$A$55,A20)=1,B20&lt;&gt;"",C20&lt;&gt;"",D20&lt;&gt;"",E20="YES",ISNUMBER(L20),AND(ISNUMBER(O20),O20&gt;=0)),"CALCULATED - EA","HOLD: COMPLETE ACCOUNT"))</x:f>
      </x:c>
    </x:row>
    <x:row r="21" ht="23" customHeight="1">
      <x:c r="A21" s="38"/>
      <x:c r="B21" s="36"/>
      <x:c r="C21" s="36"/>
      <x:c r="D21" s="36"/>
      <x:c r="E21" s="36"/>
      <x:c r="F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BL",Components!$M$6:$M$305,"YES"),""))</x:f>
      </x:c>
      <x:c r="G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PJ",Components!$M$6:$M$305,"YES"),""))</x:f>
      </x:c>
      <x:c r="H21" s="41" t="str">
        <x:f>IF(A21="","",IF(AND(COUNTIFS(Components!$B$6:$B$305,"EA",Components!$C$6:$C$305,A21,Components!$D$6:$D$305,"BL",Components!$M$6:$M$305,"YES")&gt;0,COUNTIFS(Components!$B$6:$B$305,"EA",Components!$C$6:$C$305,A21,Components!$D$6:$D$305,"PJ",Components!$M$6:$M$305,"YES")&gt;0,COUNTIFS(Components!$B$6:$B$305,"EA",Components!$C$6:$C$305,A21,Components!$D$6:$D$305,"LK",Components!$M$6:$M$305,"YES")&gt;0,COUNTIFS(Components!$B$6:$B$305,"EA",Components!$C$6:$C$305,A21,Components!$M$6:$M$305,"YES",Components!$N$6:$N$305,"&lt;&gt;COMPLETE")=0),SUMIFS(Components!$I$6:$I$305,Components!$B$6:$B$305,"EA",Components!$C$6:$C$305,A21,Components!$D$6:$D$305,"LK",Components!$M$6:$M$305,"YES"),""))</x:f>
      </x:c>
      <x:c r="I21" s="41" t="str">
        <x:f>IF(COUNT(F21:H21)=3,F21-G21-H21,"")</x:f>
      </x:c>
      <x:c r="J21" s="36"/>
      <x:c r="K21" s="36"/>
      <x:c r="L21" s="41" t="str">
        <x:f>IF(COUNT(I21,K21)=2,IF(J21="DEDUCTION",IF(K21&gt;=0,I21-K21,""),IF(J21="BOUND",IF(K21&lt;=I21+Profile!$B$18,K21,""),"")),"")</x:f>
      </x:c>
      <x:c r="M21" s="36"/>
      <x:c r="N21" s="36"/>
      <x:c r="O21" s="41" t="str">
        <x:f>IF(COUNT(L21:N21)=3,IF(AND(M21&gt;=0,N21&gt;=0),MAX(0,L21-M21)-N21,""),"")</x:f>
      </x:c>
      <x:c r="P21" s="41" t="str">
        <x:f>IF(A21="","",IF(AND(COUNTIF($A$6:$A$55,A21)=1,B21&lt;&gt;"",C21&lt;&gt;"",D21&lt;&gt;"",E21="YES",ISNUMBER(L21),AND(ISNUMBER(O21),O21&gt;=0)),"CALCULATED - EA","HOLD: COMPLETE ACCOUNT"))</x:f>
      </x:c>
    </x:row>
    <x:row r="22" ht="23" customHeight="1">
      <x:c r="A22" s="38"/>
      <x:c r="B22" s="36"/>
      <x:c r="C22" s="36"/>
      <x:c r="D22" s="36"/>
      <x:c r="E22" s="36"/>
      <x:c r="F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BL",Components!$M$6:$M$305,"YES"),""))</x:f>
      </x:c>
      <x:c r="G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PJ",Components!$M$6:$M$305,"YES"),""))</x:f>
      </x:c>
      <x:c r="H22" s="41" t="str">
        <x:f>IF(A22="","",IF(AND(COUNTIFS(Components!$B$6:$B$305,"EA",Components!$C$6:$C$305,A22,Components!$D$6:$D$305,"BL",Components!$M$6:$M$305,"YES")&gt;0,COUNTIFS(Components!$B$6:$B$305,"EA",Components!$C$6:$C$305,A22,Components!$D$6:$D$305,"PJ",Components!$M$6:$M$305,"YES")&gt;0,COUNTIFS(Components!$B$6:$B$305,"EA",Components!$C$6:$C$305,A22,Components!$D$6:$D$305,"LK",Components!$M$6:$M$305,"YES")&gt;0,COUNTIFS(Components!$B$6:$B$305,"EA",Components!$C$6:$C$305,A22,Components!$M$6:$M$305,"YES",Components!$N$6:$N$305,"&lt;&gt;COMPLETE")=0),SUMIFS(Components!$I$6:$I$305,Components!$B$6:$B$305,"EA",Components!$C$6:$C$305,A22,Components!$D$6:$D$305,"LK",Components!$M$6:$M$305,"YES"),""))</x:f>
      </x:c>
      <x:c r="I22" s="41" t="str">
        <x:f>IF(COUNT(F22:H22)=3,F22-G22-H22,"")</x:f>
      </x:c>
      <x:c r="J22" s="36"/>
      <x:c r="K22" s="36"/>
      <x:c r="L22" s="41" t="str">
        <x:f>IF(COUNT(I22,K22)=2,IF(J22="DEDUCTION",IF(K22&gt;=0,I22-K22,""),IF(J22="BOUND",IF(K22&lt;=I22+Profile!$B$18,K22,""),"")),"")</x:f>
      </x:c>
      <x:c r="M22" s="36"/>
      <x:c r="N22" s="36"/>
      <x:c r="O22" s="41" t="str">
        <x:f>IF(COUNT(L22:N22)=3,IF(AND(M22&gt;=0,N22&gt;=0),MAX(0,L22-M22)-N22,""),"")</x:f>
      </x:c>
      <x:c r="P22" s="41" t="str">
        <x:f>IF(A22="","",IF(AND(COUNTIF($A$6:$A$55,A22)=1,B22&lt;&gt;"",C22&lt;&gt;"",D22&lt;&gt;"",E22="YES",ISNUMBER(L22),AND(ISNUMBER(O22),O22&gt;=0)),"CALCULATED - EA","HOLD: COMPLETE ACCOUNT"))</x:f>
      </x:c>
    </x:row>
    <x:row r="23" ht="23" customHeight="1">
      <x:c r="A23" s="38"/>
      <x:c r="B23" s="36"/>
      <x:c r="C23" s="36"/>
      <x:c r="D23" s="36"/>
      <x:c r="E23" s="36"/>
      <x:c r="F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BL",Components!$M$6:$M$305,"YES"),""))</x:f>
      </x:c>
      <x:c r="G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PJ",Components!$M$6:$M$305,"YES"),""))</x:f>
      </x:c>
      <x:c r="H23" s="41" t="str">
        <x:f>IF(A23="","",IF(AND(COUNTIFS(Components!$B$6:$B$305,"EA",Components!$C$6:$C$305,A23,Components!$D$6:$D$305,"BL",Components!$M$6:$M$305,"YES")&gt;0,COUNTIFS(Components!$B$6:$B$305,"EA",Components!$C$6:$C$305,A23,Components!$D$6:$D$305,"PJ",Components!$M$6:$M$305,"YES")&gt;0,COUNTIFS(Components!$B$6:$B$305,"EA",Components!$C$6:$C$305,A23,Components!$D$6:$D$305,"LK",Components!$M$6:$M$305,"YES")&gt;0,COUNTIFS(Components!$B$6:$B$305,"EA",Components!$C$6:$C$305,A23,Components!$M$6:$M$305,"YES",Components!$N$6:$N$305,"&lt;&gt;COMPLETE")=0),SUMIFS(Components!$I$6:$I$305,Components!$B$6:$B$305,"EA",Components!$C$6:$C$305,A23,Components!$D$6:$D$305,"LK",Components!$M$6:$M$305,"YES"),""))</x:f>
      </x:c>
      <x:c r="I23" s="41" t="str">
        <x:f>IF(COUNT(F23:H23)=3,F23-G23-H23,"")</x:f>
      </x:c>
      <x:c r="J23" s="36"/>
      <x:c r="K23" s="36"/>
      <x:c r="L23" s="41" t="str">
        <x:f>IF(COUNT(I23,K23)=2,IF(J23="DEDUCTION",IF(K23&gt;=0,I23-K23,""),IF(J23="BOUND",IF(K23&lt;=I23+Profile!$B$18,K23,""),"")),"")</x:f>
      </x:c>
      <x:c r="M23" s="36"/>
      <x:c r="N23" s="36"/>
      <x:c r="O23" s="41" t="str">
        <x:f>IF(COUNT(L23:N23)=3,IF(AND(M23&gt;=0,N23&gt;=0),MAX(0,L23-M23)-N23,""),"")</x:f>
      </x:c>
      <x:c r="P23" s="41" t="str">
        <x:f>IF(A23="","",IF(AND(COUNTIF($A$6:$A$55,A23)=1,B23&lt;&gt;"",C23&lt;&gt;"",D23&lt;&gt;"",E23="YES",ISNUMBER(L23),AND(ISNUMBER(O23),O23&gt;=0)),"CALCULATED - EA","HOLD: COMPLETE ACCOUNT"))</x:f>
      </x:c>
    </x:row>
    <x:row r="24" ht="23" customHeight="1">
      <x:c r="A24" s="38"/>
      <x:c r="B24" s="36"/>
      <x:c r="C24" s="36"/>
      <x:c r="D24" s="36"/>
      <x:c r="E24" s="36"/>
      <x:c r="F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BL",Components!$M$6:$M$305,"YES"),""))</x:f>
      </x:c>
      <x:c r="G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PJ",Components!$M$6:$M$305,"YES"),""))</x:f>
      </x:c>
      <x:c r="H24" s="41" t="str">
        <x:f>IF(A24="","",IF(AND(COUNTIFS(Components!$B$6:$B$305,"EA",Components!$C$6:$C$305,A24,Components!$D$6:$D$305,"BL",Components!$M$6:$M$305,"YES")&gt;0,COUNTIFS(Components!$B$6:$B$305,"EA",Components!$C$6:$C$305,A24,Components!$D$6:$D$305,"PJ",Components!$M$6:$M$305,"YES")&gt;0,COUNTIFS(Components!$B$6:$B$305,"EA",Components!$C$6:$C$305,A24,Components!$D$6:$D$305,"LK",Components!$M$6:$M$305,"YES")&gt;0,COUNTIFS(Components!$B$6:$B$305,"EA",Components!$C$6:$C$305,A24,Components!$M$6:$M$305,"YES",Components!$N$6:$N$305,"&lt;&gt;COMPLETE")=0),SUMIFS(Components!$I$6:$I$305,Components!$B$6:$B$305,"EA",Components!$C$6:$C$305,A24,Components!$D$6:$D$305,"LK",Components!$M$6:$M$305,"YES"),""))</x:f>
      </x:c>
      <x:c r="I24" s="41" t="str">
        <x:f>IF(COUNT(F24:H24)=3,F24-G24-H24,"")</x:f>
      </x:c>
      <x:c r="J24" s="36"/>
      <x:c r="K24" s="36"/>
      <x:c r="L24" s="41" t="str">
        <x:f>IF(COUNT(I24,K24)=2,IF(J24="DEDUCTION",IF(K24&gt;=0,I24-K24,""),IF(J24="BOUND",IF(K24&lt;=I24+Profile!$B$18,K24,""),"")),"")</x:f>
      </x:c>
      <x:c r="M24" s="36"/>
      <x:c r="N24" s="36"/>
      <x:c r="O24" s="41" t="str">
        <x:f>IF(COUNT(L24:N24)=3,IF(AND(M24&gt;=0,N24&gt;=0),MAX(0,L24-M24)-N24,""),"")</x:f>
      </x:c>
      <x:c r="P24" s="41" t="str">
        <x:f>IF(A24="","",IF(AND(COUNTIF($A$6:$A$55,A24)=1,B24&lt;&gt;"",C24&lt;&gt;"",D24&lt;&gt;"",E24="YES",ISNUMBER(L24),AND(ISNUMBER(O24),O24&gt;=0)),"CALCULATED - EA","HOLD: COMPLETE ACCOUNT"))</x:f>
      </x:c>
    </x:row>
    <x:row r="25" ht="23" customHeight="1">
      <x:c r="A25" s="38"/>
      <x:c r="B25" s="36"/>
      <x:c r="C25" s="36"/>
      <x:c r="D25" s="36"/>
      <x:c r="E25" s="36"/>
      <x:c r="F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BL",Components!$M$6:$M$305,"YES"),""))</x:f>
      </x:c>
      <x:c r="G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PJ",Components!$M$6:$M$305,"YES"),""))</x:f>
      </x:c>
      <x:c r="H25" s="41" t="str">
        <x:f>IF(A25="","",IF(AND(COUNTIFS(Components!$B$6:$B$305,"EA",Components!$C$6:$C$305,A25,Components!$D$6:$D$305,"BL",Components!$M$6:$M$305,"YES")&gt;0,COUNTIFS(Components!$B$6:$B$305,"EA",Components!$C$6:$C$305,A25,Components!$D$6:$D$305,"PJ",Components!$M$6:$M$305,"YES")&gt;0,COUNTIFS(Components!$B$6:$B$305,"EA",Components!$C$6:$C$305,A25,Components!$D$6:$D$305,"LK",Components!$M$6:$M$305,"YES")&gt;0,COUNTIFS(Components!$B$6:$B$305,"EA",Components!$C$6:$C$305,A25,Components!$M$6:$M$305,"YES",Components!$N$6:$N$305,"&lt;&gt;COMPLETE")=0),SUMIFS(Components!$I$6:$I$305,Components!$B$6:$B$305,"EA",Components!$C$6:$C$305,A25,Components!$D$6:$D$305,"LK",Components!$M$6:$M$305,"YES"),""))</x:f>
      </x:c>
      <x:c r="I25" s="41" t="str">
        <x:f>IF(COUNT(F25:H25)=3,F25-G25-H25,"")</x:f>
      </x:c>
      <x:c r="J25" s="36"/>
      <x:c r="K25" s="36"/>
      <x:c r="L25" s="41" t="str">
        <x:f>IF(COUNT(I25,K25)=2,IF(J25="DEDUCTION",IF(K25&gt;=0,I25-K25,""),IF(J25="BOUND",IF(K25&lt;=I25+Profile!$B$18,K25,""),"")),"")</x:f>
      </x:c>
      <x:c r="M25" s="36"/>
      <x:c r="N25" s="36"/>
      <x:c r="O25" s="41" t="str">
        <x:f>IF(COUNT(L25:N25)=3,IF(AND(M25&gt;=0,N25&gt;=0),MAX(0,L25-M25)-N25,""),"")</x:f>
      </x:c>
      <x:c r="P25" s="41" t="str">
        <x:f>IF(A25="","",IF(AND(COUNTIF($A$6:$A$55,A25)=1,B25&lt;&gt;"",C25&lt;&gt;"",D25&lt;&gt;"",E25="YES",ISNUMBER(L25),AND(ISNUMBER(O25),O25&gt;=0)),"CALCULATED - EA","HOLD: COMPLETE ACCOUNT"))</x:f>
      </x:c>
    </x:row>
    <x:row r="26" ht="23" customHeight="1">
      <x:c r="A26" s="38"/>
      <x:c r="B26" s="36"/>
      <x:c r="C26" s="36"/>
      <x:c r="D26" s="36"/>
      <x:c r="E26" s="36"/>
      <x:c r="F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BL",Components!$M$6:$M$305,"YES"),""))</x:f>
      </x:c>
      <x:c r="G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PJ",Components!$M$6:$M$305,"YES"),""))</x:f>
      </x:c>
      <x:c r="H26" s="41" t="str">
        <x:f>IF(A26="","",IF(AND(COUNTIFS(Components!$B$6:$B$305,"EA",Components!$C$6:$C$305,A26,Components!$D$6:$D$305,"BL",Components!$M$6:$M$305,"YES")&gt;0,COUNTIFS(Components!$B$6:$B$305,"EA",Components!$C$6:$C$305,A26,Components!$D$6:$D$305,"PJ",Components!$M$6:$M$305,"YES")&gt;0,COUNTIFS(Components!$B$6:$B$305,"EA",Components!$C$6:$C$305,A26,Components!$D$6:$D$305,"LK",Components!$M$6:$M$305,"YES")&gt;0,COUNTIFS(Components!$B$6:$B$305,"EA",Components!$C$6:$C$305,A26,Components!$M$6:$M$305,"YES",Components!$N$6:$N$305,"&lt;&gt;COMPLETE")=0),SUMIFS(Components!$I$6:$I$305,Components!$B$6:$B$305,"EA",Components!$C$6:$C$305,A26,Components!$D$6:$D$305,"LK",Components!$M$6:$M$305,"YES"),""))</x:f>
      </x:c>
      <x:c r="I26" s="41" t="str">
        <x:f>IF(COUNT(F26:H26)=3,F26-G26-H26,"")</x:f>
      </x:c>
      <x:c r="J26" s="36"/>
      <x:c r="K26" s="36"/>
      <x:c r="L26" s="41" t="str">
        <x:f>IF(COUNT(I26,K26)=2,IF(J26="DEDUCTION",IF(K26&gt;=0,I26-K26,""),IF(J26="BOUND",IF(K26&lt;=I26+Profile!$B$18,K26,""),"")),"")</x:f>
      </x:c>
      <x:c r="M26" s="36"/>
      <x:c r="N26" s="36"/>
      <x:c r="O26" s="41" t="str">
        <x:f>IF(COUNT(L26:N26)=3,IF(AND(M26&gt;=0,N26&gt;=0),MAX(0,L26-M26)-N26,""),"")</x:f>
      </x:c>
      <x:c r="P26" s="41" t="str">
        <x:f>IF(A26="","",IF(AND(COUNTIF($A$6:$A$55,A26)=1,B26&lt;&gt;"",C26&lt;&gt;"",D26&lt;&gt;"",E26="YES",ISNUMBER(L26),AND(ISNUMBER(O26),O26&gt;=0)),"CALCULATED - EA","HOLD: COMPLETE ACCOUNT"))</x:f>
      </x:c>
    </x:row>
    <x:row r="27" ht="23" customHeight="1">
      <x:c r="A27" s="38"/>
      <x:c r="B27" s="36"/>
      <x:c r="C27" s="36"/>
      <x:c r="D27" s="36"/>
      <x:c r="E27" s="36"/>
      <x:c r="F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BL",Components!$M$6:$M$305,"YES"),""))</x:f>
      </x:c>
      <x:c r="G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PJ",Components!$M$6:$M$305,"YES"),""))</x:f>
      </x:c>
      <x:c r="H27" s="41" t="str">
        <x:f>IF(A27="","",IF(AND(COUNTIFS(Components!$B$6:$B$305,"EA",Components!$C$6:$C$305,A27,Components!$D$6:$D$305,"BL",Components!$M$6:$M$305,"YES")&gt;0,COUNTIFS(Components!$B$6:$B$305,"EA",Components!$C$6:$C$305,A27,Components!$D$6:$D$305,"PJ",Components!$M$6:$M$305,"YES")&gt;0,COUNTIFS(Components!$B$6:$B$305,"EA",Components!$C$6:$C$305,A27,Components!$D$6:$D$305,"LK",Components!$M$6:$M$305,"YES")&gt;0,COUNTIFS(Components!$B$6:$B$305,"EA",Components!$C$6:$C$305,A27,Components!$M$6:$M$305,"YES",Components!$N$6:$N$305,"&lt;&gt;COMPLETE")=0),SUMIFS(Components!$I$6:$I$305,Components!$B$6:$B$305,"EA",Components!$C$6:$C$305,A27,Components!$D$6:$D$305,"LK",Components!$M$6:$M$305,"YES"),""))</x:f>
      </x:c>
      <x:c r="I27" s="41" t="str">
        <x:f>IF(COUNT(F27:H27)=3,F27-G27-H27,"")</x:f>
      </x:c>
      <x:c r="J27" s="36"/>
      <x:c r="K27" s="36"/>
      <x:c r="L27" s="41" t="str">
        <x:f>IF(COUNT(I27,K27)=2,IF(J27="DEDUCTION",IF(K27&gt;=0,I27-K27,""),IF(J27="BOUND",IF(K27&lt;=I27+Profile!$B$18,K27,""),"")),"")</x:f>
      </x:c>
      <x:c r="M27" s="36"/>
      <x:c r="N27" s="36"/>
      <x:c r="O27" s="41" t="str">
        <x:f>IF(COUNT(L27:N27)=3,IF(AND(M27&gt;=0,N27&gt;=0),MAX(0,L27-M27)-N27,""),"")</x:f>
      </x:c>
      <x:c r="P27" s="41" t="str">
        <x:f>IF(A27="","",IF(AND(COUNTIF($A$6:$A$55,A27)=1,B27&lt;&gt;"",C27&lt;&gt;"",D27&lt;&gt;"",E27="YES",ISNUMBER(L27),AND(ISNUMBER(O27),O27&gt;=0)),"CALCULATED - EA","HOLD: COMPLETE ACCOUNT"))</x:f>
      </x:c>
    </x:row>
    <x:row r="28" ht="23" customHeight="1">
      <x:c r="A28" s="38"/>
      <x:c r="B28" s="36"/>
      <x:c r="C28" s="36"/>
      <x:c r="D28" s="36"/>
      <x:c r="E28" s="36"/>
      <x:c r="F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BL",Components!$M$6:$M$305,"YES"),""))</x:f>
      </x:c>
      <x:c r="G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PJ",Components!$M$6:$M$305,"YES"),""))</x:f>
      </x:c>
      <x:c r="H28" s="41" t="str">
        <x:f>IF(A28="","",IF(AND(COUNTIFS(Components!$B$6:$B$305,"EA",Components!$C$6:$C$305,A28,Components!$D$6:$D$305,"BL",Components!$M$6:$M$305,"YES")&gt;0,COUNTIFS(Components!$B$6:$B$305,"EA",Components!$C$6:$C$305,A28,Components!$D$6:$D$305,"PJ",Components!$M$6:$M$305,"YES")&gt;0,COUNTIFS(Components!$B$6:$B$305,"EA",Components!$C$6:$C$305,A28,Components!$D$6:$D$305,"LK",Components!$M$6:$M$305,"YES")&gt;0,COUNTIFS(Components!$B$6:$B$305,"EA",Components!$C$6:$C$305,A28,Components!$M$6:$M$305,"YES",Components!$N$6:$N$305,"&lt;&gt;COMPLETE")=0),SUMIFS(Components!$I$6:$I$305,Components!$B$6:$B$305,"EA",Components!$C$6:$C$305,A28,Components!$D$6:$D$305,"LK",Components!$M$6:$M$305,"YES"),""))</x:f>
      </x:c>
      <x:c r="I28" s="41" t="str">
        <x:f>IF(COUNT(F28:H28)=3,F28-G28-H28,"")</x:f>
      </x:c>
      <x:c r="J28" s="36"/>
      <x:c r="K28" s="36"/>
      <x:c r="L28" s="41" t="str">
        <x:f>IF(COUNT(I28,K28)=2,IF(J28="DEDUCTION",IF(K28&gt;=0,I28-K28,""),IF(J28="BOUND",IF(K28&lt;=I28+Profile!$B$18,K28,""),"")),"")</x:f>
      </x:c>
      <x:c r="M28" s="36"/>
      <x:c r="N28" s="36"/>
      <x:c r="O28" s="41" t="str">
        <x:f>IF(COUNT(L28:N28)=3,IF(AND(M28&gt;=0,N28&gt;=0),MAX(0,L28-M28)-N28,""),"")</x:f>
      </x:c>
      <x:c r="P28" s="41" t="str">
        <x:f>IF(A28="","",IF(AND(COUNTIF($A$6:$A$55,A28)=1,B28&lt;&gt;"",C28&lt;&gt;"",D28&lt;&gt;"",E28="YES",ISNUMBER(L28),AND(ISNUMBER(O28),O28&gt;=0)),"CALCULATED - EA","HOLD: COMPLETE ACCOUNT"))</x:f>
      </x:c>
    </x:row>
    <x:row r="29" ht="23" customHeight="1">
      <x:c r="A29" s="38"/>
      <x:c r="B29" s="36"/>
      <x:c r="C29" s="36"/>
      <x:c r="D29" s="36"/>
      <x:c r="E29" s="36"/>
      <x:c r="F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BL",Components!$M$6:$M$305,"YES"),""))</x:f>
      </x:c>
      <x:c r="G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PJ",Components!$M$6:$M$305,"YES"),""))</x:f>
      </x:c>
      <x:c r="H29" s="41" t="str">
        <x:f>IF(A29="","",IF(AND(COUNTIFS(Components!$B$6:$B$305,"EA",Components!$C$6:$C$305,A29,Components!$D$6:$D$305,"BL",Components!$M$6:$M$305,"YES")&gt;0,COUNTIFS(Components!$B$6:$B$305,"EA",Components!$C$6:$C$305,A29,Components!$D$6:$D$305,"PJ",Components!$M$6:$M$305,"YES")&gt;0,COUNTIFS(Components!$B$6:$B$305,"EA",Components!$C$6:$C$305,A29,Components!$D$6:$D$305,"LK",Components!$M$6:$M$305,"YES")&gt;0,COUNTIFS(Components!$B$6:$B$305,"EA",Components!$C$6:$C$305,A29,Components!$M$6:$M$305,"YES",Components!$N$6:$N$305,"&lt;&gt;COMPLETE")=0),SUMIFS(Components!$I$6:$I$305,Components!$B$6:$B$305,"EA",Components!$C$6:$C$305,A29,Components!$D$6:$D$305,"LK",Components!$M$6:$M$305,"YES"),""))</x:f>
      </x:c>
      <x:c r="I29" s="41" t="str">
        <x:f>IF(COUNT(F29:H29)=3,F29-G29-H29,"")</x:f>
      </x:c>
      <x:c r="J29" s="36"/>
      <x:c r="K29" s="36"/>
      <x:c r="L29" s="41" t="str">
        <x:f>IF(COUNT(I29,K29)=2,IF(J29="DEDUCTION",IF(K29&gt;=0,I29-K29,""),IF(J29="BOUND",IF(K29&lt;=I29+Profile!$B$18,K29,""),"")),"")</x:f>
      </x:c>
      <x:c r="M29" s="36"/>
      <x:c r="N29" s="36"/>
      <x:c r="O29" s="41" t="str">
        <x:f>IF(COUNT(L29:N29)=3,IF(AND(M29&gt;=0,N29&gt;=0),MAX(0,L29-M29)-N29,""),"")</x:f>
      </x:c>
      <x:c r="P29" s="41" t="str">
        <x:f>IF(A29="","",IF(AND(COUNTIF($A$6:$A$55,A29)=1,B29&lt;&gt;"",C29&lt;&gt;"",D29&lt;&gt;"",E29="YES",ISNUMBER(L29),AND(ISNUMBER(O29),O29&gt;=0)),"CALCULATED - EA","HOLD: COMPLETE ACCOUNT"))</x:f>
      </x:c>
    </x:row>
    <x:row r="30" ht="23" customHeight="1">
      <x:c r="A30" s="38"/>
      <x:c r="B30" s="36"/>
      <x:c r="C30" s="36"/>
      <x:c r="D30" s="36"/>
      <x:c r="E30" s="36"/>
      <x:c r="F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BL",Components!$M$6:$M$305,"YES"),""))</x:f>
      </x:c>
      <x:c r="G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PJ",Components!$M$6:$M$305,"YES"),""))</x:f>
      </x:c>
      <x:c r="H30" s="41" t="str">
        <x:f>IF(A30="","",IF(AND(COUNTIFS(Components!$B$6:$B$305,"EA",Components!$C$6:$C$305,A30,Components!$D$6:$D$305,"BL",Components!$M$6:$M$305,"YES")&gt;0,COUNTIFS(Components!$B$6:$B$305,"EA",Components!$C$6:$C$305,A30,Components!$D$6:$D$305,"PJ",Components!$M$6:$M$305,"YES")&gt;0,COUNTIFS(Components!$B$6:$B$305,"EA",Components!$C$6:$C$305,A30,Components!$D$6:$D$305,"LK",Components!$M$6:$M$305,"YES")&gt;0,COUNTIFS(Components!$B$6:$B$305,"EA",Components!$C$6:$C$305,A30,Components!$M$6:$M$305,"YES",Components!$N$6:$N$305,"&lt;&gt;COMPLETE")=0),SUMIFS(Components!$I$6:$I$305,Components!$B$6:$B$305,"EA",Components!$C$6:$C$305,A30,Components!$D$6:$D$305,"LK",Components!$M$6:$M$305,"YES"),""))</x:f>
      </x:c>
      <x:c r="I30" s="41" t="str">
        <x:f>IF(COUNT(F30:H30)=3,F30-G30-H30,"")</x:f>
      </x:c>
      <x:c r="J30" s="36"/>
      <x:c r="K30" s="36"/>
      <x:c r="L30" s="41" t="str">
        <x:f>IF(COUNT(I30,K30)=2,IF(J30="DEDUCTION",IF(K30&gt;=0,I30-K30,""),IF(J30="BOUND",IF(K30&lt;=I30+Profile!$B$18,K30,""),"")),"")</x:f>
      </x:c>
      <x:c r="M30" s="36"/>
      <x:c r="N30" s="36"/>
      <x:c r="O30" s="41" t="str">
        <x:f>IF(COUNT(L30:N30)=3,IF(AND(M30&gt;=0,N30&gt;=0),MAX(0,L30-M30)-N30,""),"")</x:f>
      </x:c>
      <x:c r="P30" s="41" t="str">
        <x:f>IF(A30="","",IF(AND(COUNTIF($A$6:$A$55,A30)=1,B30&lt;&gt;"",C30&lt;&gt;"",D30&lt;&gt;"",E30="YES",ISNUMBER(L30),AND(ISNUMBER(O30),O30&gt;=0)),"CALCULATED - EA","HOLD: COMPLETE ACCOUNT"))</x:f>
      </x:c>
    </x:row>
    <x:row r="31" ht="23" customHeight="1">
      <x:c r="A31" s="38"/>
      <x:c r="B31" s="36"/>
      <x:c r="C31" s="36"/>
      <x:c r="D31" s="36"/>
      <x:c r="E31" s="36"/>
      <x:c r="F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BL",Components!$M$6:$M$305,"YES"),""))</x:f>
      </x:c>
      <x:c r="G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PJ",Components!$M$6:$M$305,"YES"),""))</x:f>
      </x:c>
      <x:c r="H31" s="41" t="str">
        <x:f>IF(A31="","",IF(AND(COUNTIFS(Components!$B$6:$B$305,"EA",Components!$C$6:$C$305,A31,Components!$D$6:$D$305,"BL",Components!$M$6:$M$305,"YES")&gt;0,COUNTIFS(Components!$B$6:$B$305,"EA",Components!$C$6:$C$305,A31,Components!$D$6:$D$305,"PJ",Components!$M$6:$M$305,"YES")&gt;0,COUNTIFS(Components!$B$6:$B$305,"EA",Components!$C$6:$C$305,A31,Components!$D$6:$D$305,"LK",Components!$M$6:$M$305,"YES")&gt;0,COUNTIFS(Components!$B$6:$B$305,"EA",Components!$C$6:$C$305,A31,Components!$M$6:$M$305,"YES",Components!$N$6:$N$305,"&lt;&gt;COMPLETE")=0),SUMIFS(Components!$I$6:$I$305,Components!$B$6:$B$305,"EA",Components!$C$6:$C$305,A31,Components!$D$6:$D$305,"LK",Components!$M$6:$M$305,"YES"),""))</x:f>
      </x:c>
      <x:c r="I31" s="41" t="str">
        <x:f>IF(COUNT(F31:H31)=3,F31-G31-H31,"")</x:f>
      </x:c>
      <x:c r="J31" s="36"/>
      <x:c r="K31" s="36"/>
      <x:c r="L31" s="41" t="str">
        <x:f>IF(COUNT(I31,K31)=2,IF(J31="DEDUCTION",IF(K31&gt;=0,I31-K31,""),IF(J31="BOUND",IF(K31&lt;=I31+Profile!$B$18,K31,""),"")),"")</x:f>
      </x:c>
      <x:c r="M31" s="36"/>
      <x:c r="N31" s="36"/>
      <x:c r="O31" s="41" t="str">
        <x:f>IF(COUNT(L31:N31)=3,IF(AND(M31&gt;=0,N31&gt;=0),MAX(0,L31-M31)-N31,""),"")</x:f>
      </x:c>
      <x:c r="P31" s="41" t="str">
        <x:f>IF(A31="","",IF(AND(COUNTIF($A$6:$A$55,A31)=1,B31&lt;&gt;"",C31&lt;&gt;"",D31&lt;&gt;"",E31="YES",ISNUMBER(L31),AND(ISNUMBER(O31),O31&gt;=0)),"CALCULATED - EA","HOLD: COMPLETE ACCOUNT"))</x:f>
      </x:c>
    </x:row>
    <x:row r="32" ht="23" customHeight="1">
      <x:c r="A32" s="38"/>
      <x:c r="B32" s="36"/>
      <x:c r="C32" s="36"/>
      <x:c r="D32" s="36"/>
      <x:c r="E32" s="36"/>
      <x:c r="F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BL",Components!$M$6:$M$305,"YES"),""))</x:f>
      </x:c>
      <x:c r="G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PJ",Components!$M$6:$M$305,"YES"),""))</x:f>
      </x:c>
      <x:c r="H32" s="41" t="str">
        <x:f>IF(A32="","",IF(AND(COUNTIFS(Components!$B$6:$B$305,"EA",Components!$C$6:$C$305,A32,Components!$D$6:$D$305,"BL",Components!$M$6:$M$305,"YES")&gt;0,COUNTIFS(Components!$B$6:$B$305,"EA",Components!$C$6:$C$305,A32,Components!$D$6:$D$305,"PJ",Components!$M$6:$M$305,"YES")&gt;0,COUNTIFS(Components!$B$6:$B$305,"EA",Components!$C$6:$C$305,A32,Components!$D$6:$D$305,"LK",Components!$M$6:$M$305,"YES")&gt;0,COUNTIFS(Components!$B$6:$B$305,"EA",Components!$C$6:$C$305,A32,Components!$M$6:$M$305,"YES",Components!$N$6:$N$305,"&lt;&gt;COMPLETE")=0),SUMIFS(Components!$I$6:$I$305,Components!$B$6:$B$305,"EA",Components!$C$6:$C$305,A32,Components!$D$6:$D$305,"LK",Components!$M$6:$M$305,"YES"),""))</x:f>
      </x:c>
      <x:c r="I32" s="41" t="str">
        <x:f>IF(COUNT(F32:H32)=3,F32-G32-H32,"")</x:f>
      </x:c>
      <x:c r="J32" s="36"/>
      <x:c r="K32" s="36"/>
      <x:c r="L32" s="41" t="str">
        <x:f>IF(COUNT(I32,K32)=2,IF(J32="DEDUCTION",IF(K32&gt;=0,I32-K32,""),IF(J32="BOUND",IF(K32&lt;=I32+Profile!$B$18,K32,""),"")),"")</x:f>
      </x:c>
      <x:c r="M32" s="36"/>
      <x:c r="N32" s="36"/>
      <x:c r="O32" s="41" t="str">
        <x:f>IF(COUNT(L32:N32)=3,IF(AND(M32&gt;=0,N32&gt;=0),MAX(0,L32-M32)-N32,""),"")</x:f>
      </x:c>
      <x:c r="P32" s="41" t="str">
        <x:f>IF(A32="","",IF(AND(COUNTIF($A$6:$A$55,A32)=1,B32&lt;&gt;"",C32&lt;&gt;"",D32&lt;&gt;"",E32="YES",ISNUMBER(L32),AND(ISNUMBER(O32),O32&gt;=0)),"CALCULATED - EA","HOLD: COMPLETE ACCOUNT"))</x:f>
      </x:c>
    </x:row>
    <x:row r="33" ht="23" customHeight="1">
      <x:c r="A33" s="38"/>
      <x:c r="B33" s="36"/>
      <x:c r="C33" s="36"/>
      <x:c r="D33" s="36"/>
      <x:c r="E33" s="36"/>
      <x:c r="F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BL",Components!$M$6:$M$305,"YES"),""))</x:f>
      </x:c>
      <x:c r="G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PJ",Components!$M$6:$M$305,"YES"),""))</x:f>
      </x:c>
      <x:c r="H33" s="41" t="str">
        <x:f>IF(A33="","",IF(AND(COUNTIFS(Components!$B$6:$B$305,"EA",Components!$C$6:$C$305,A33,Components!$D$6:$D$305,"BL",Components!$M$6:$M$305,"YES")&gt;0,COUNTIFS(Components!$B$6:$B$305,"EA",Components!$C$6:$C$305,A33,Components!$D$6:$D$305,"PJ",Components!$M$6:$M$305,"YES")&gt;0,COUNTIFS(Components!$B$6:$B$305,"EA",Components!$C$6:$C$305,A33,Components!$D$6:$D$305,"LK",Components!$M$6:$M$305,"YES")&gt;0,COUNTIFS(Components!$B$6:$B$305,"EA",Components!$C$6:$C$305,A33,Components!$M$6:$M$305,"YES",Components!$N$6:$N$305,"&lt;&gt;COMPLETE")=0),SUMIFS(Components!$I$6:$I$305,Components!$B$6:$B$305,"EA",Components!$C$6:$C$305,A33,Components!$D$6:$D$305,"LK",Components!$M$6:$M$305,"YES"),""))</x:f>
      </x:c>
      <x:c r="I33" s="41" t="str">
        <x:f>IF(COUNT(F33:H33)=3,F33-G33-H33,"")</x:f>
      </x:c>
      <x:c r="J33" s="36"/>
      <x:c r="K33" s="36"/>
      <x:c r="L33" s="41" t="str">
        <x:f>IF(COUNT(I33,K33)=2,IF(J33="DEDUCTION",IF(K33&gt;=0,I33-K33,""),IF(J33="BOUND",IF(K33&lt;=I33+Profile!$B$18,K33,""),"")),"")</x:f>
      </x:c>
      <x:c r="M33" s="36"/>
      <x:c r="N33" s="36"/>
      <x:c r="O33" s="41" t="str">
        <x:f>IF(COUNT(L33:N33)=3,IF(AND(M33&gt;=0,N33&gt;=0),MAX(0,L33-M33)-N33,""),"")</x:f>
      </x:c>
      <x:c r="P33" s="41" t="str">
        <x:f>IF(A33="","",IF(AND(COUNTIF($A$6:$A$55,A33)=1,B33&lt;&gt;"",C33&lt;&gt;"",D33&lt;&gt;"",E33="YES",ISNUMBER(L33),AND(ISNUMBER(O33),O33&gt;=0)),"CALCULATED - EA","HOLD: COMPLETE ACCOUNT"))</x:f>
      </x:c>
    </x:row>
    <x:row r="34" ht="23" customHeight="1">
      <x:c r="A34" s="38"/>
      <x:c r="B34" s="36"/>
      <x:c r="C34" s="36"/>
      <x:c r="D34" s="36"/>
      <x:c r="E34" s="36"/>
      <x:c r="F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BL",Components!$M$6:$M$305,"YES"),""))</x:f>
      </x:c>
      <x:c r="G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PJ",Components!$M$6:$M$305,"YES"),""))</x:f>
      </x:c>
      <x:c r="H34" s="41" t="str">
        <x:f>IF(A34="","",IF(AND(COUNTIFS(Components!$B$6:$B$305,"EA",Components!$C$6:$C$305,A34,Components!$D$6:$D$305,"BL",Components!$M$6:$M$305,"YES")&gt;0,COUNTIFS(Components!$B$6:$B$305,"EA",Components!$C$6:$C$305,A34,Components!$D$6:$D$305,"PJ",Components!$M$6:$M$305,"YES")&gt;0,COUNTIFS(Components!$B$6:$B$305,"EA",Components!$C$6:$C$305,A34,Components!$D$6:$D$305,"LK",Components!$M$6:$M$305,"YES")&gt;0,COUNTIFS(Components!$B$6:$B$305,"EA",Components!$C$6:$C$305,A34,Components!$M$6:$M$305,"YES",Components!$N$6:$N$305,"&lt;&gt;COMPLETE")=0),SUMIFS(Components!$I$6:$I$305,Components!$B$6:$B$305,"EA",Components!$C$6:$C$305,A34,Components!$D$6:$D$305,"LK",Components!$M$6:$M$305,"YES"),""))</x:f>
      </x:c>
      <x:c r="I34" s="41" t="str">
        <x:f>IF(COUNT(F34:H34)=3,F34-G34-H34,"")</x:f>
      </x:c>
      <x:c r="J34" s="36"/>
      <x:c r="K34" s="36"/>
      <x:c r="L34" s="41" t="str">
        <x:f>IF(COUNT(I34,K34)=2,IF(J34="DEDUCTION",IF(K34&gt;=0,I34-K34,""),IF(J34="BOUND",IF(K34&lt;=I34+Profile!$B$18,K34,""),"")),"")</x:f>
      </x:c>
      <x:c r="M34" s="36"/>
      <x:c r="N34" s="36"/>
      <x:c r="O34" s="41" t="str">
        <x:f>IF(COUNT(L34:N34)=3,IF(AND(M34&gt;=0,N34&gt;=0),MAX(0,L34-M34)-N34,""),"")</x:f>
      </x:c>
      <x:c r="P34" s="41" t="str">
        <x:f>IF(A34="","",IF(AND(COUNTIF($A$6:$A$55,A34)=1,B34&lt;&gt;"",C34&lt;&gt;"",D34&lt;&gt;"",E34="YES",ISNUMBER(L34),AND(ISNUMBER(O34),O34&gt;=0)),"CALCULATED - EA","HOLD: COMPLETE ACCOUNT"))</x:f>
      </x:c>
    </x:row>
    <x:row r="35" ht="23" customHeight="1">
      <x:c r="A35" s="38"/>
      <x:c r="B35" s="36"/>
      <x:c r="C35" s="36"/>
      <x:c r="D35" s="36"/>
      <x:c r="E35" s="36"/>
      <x:c r="F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BL",Components!$M$6:$M$305,"YES"),""))</x:f>
      </x:c>
      <x:c r="G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PJ",Components!$M$6:$M$305,"YES"),""))</x:f>
      </x:c>
      <x:c r="H35" s="41" t="str">
        <x:f>IF(A35="","",IF(AND(COUNTIFS(Components!$B$6:$B$305,"EA",Components!$C$6:$C$305,A35,Components!$D$6:$D$305,"BL",Components!$M$6:$M$305,"YES")&gt;0,COUNTIFS(Components!$B$6:$B$305,"EA",Components!$C$6:$C$305,A35,Components!$D$6:$D$305,"PJ",Components!$M$6:$M$305,"YES")&gt;0,COUNTIFS(Components!$B$6:$B$305,"EA",Components!$C$6:$C$305,A35,Components!$D$6:$D$305,"LK",Components!$M$6:$M$305,"YES")&gt;0,COUNTIFS(Components!$B$6:$B$305,"EA",Components!$C$6:$C$305,A35,Components!$M$6:$M$305,"YES",Components!$N$6:$N$305,"&lt;&gt;COMPLETE")=0),SUMIFS(Components!$I$6:$I$305,Components!$B$6:$B$305,"EA",Components!$C$6:$C$305,A35,Components!$D$6:$D$305,"LK",Components!$M$6:$M$305,"YES"),""))</x:f>
      </x:c>
      <x:c r="I35" s="41" t="str">
        <x:f>IF(COUNT(F35:H35)=3,F35-G35-H35,"")</x:f>
      </x:c>
      <x:c r="J35" s="36"/>
      <x:c r="K35" s="36"/>
      <x:c r="L35" s="41" t="str">
        <x:f>IF(COUNT(I35,K35)=2,IF(J35="DEDUCTION",IF(K35&gt;=0,I35-K35,""),IF(J35="BOUND",IF(K35&lt;=I35+Profile!$B$18,K35,""),"")),"")</x:f>
      </x:c>
      <x:c r="M35" s="36"/>
      <x:c r="N35" s="36"/>
      <x:c r="O35" s="41" t="str">
        <x:f>IF(COUNT(L35:N35)=3,IF(AND(M35&gt;=0,N35&gt;=0),MAX(0,L35-M35)-N35,""),"")</x:f>
      </x:c>
      <x:c r="P35" s="41" t="str">
        <x:f>IF(A35="","",IF(AND(COUNTIF($A$6:$A$55,A35)=1,B35&lt;&gt;"",C35&lt;&gt;"",D35&lt;&gt;"",E35="YES",ISNUMBER(L35),AND(ISNUMBER(O35),O35&gt;=0)),"CALCULATED - EA","HOLD: COMPLETE ACCOUNT"))</x:f>
      </x:c>
    </x:row>
    <x:row r="36" ht="23" customHeight="1">
      <x:c r="A36" s="38"/>
      <x:c r="B36" s="36"/>
      <x:c r="C36" s="36"/>
      <x:c r="D36" s="36"/>
      <x:c r="E36" s="36"/>
      <x:c r="F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BL",Components!$M$6:$M$305,"YES"),""))</x:f>
      </x:c>
      <x:c r="G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PJ",Components!$M$6:$M$305,"YES"),""))</x:f>
      </x:c>
      <x:c r="H36" s="41" t="str">
        <x:f>IF(A36="","",IF(AND(COUNTIFS(Components!$B$6:$B$305,"EA",Components!$C$6:$C$305,A36,Components!$D$6:$D$305,"BL",Components!$M$6:$M$305,"YES")&gt;0,COUNTIFS(Components!$B$6:$B$305,"EA",Components!$C$6:$C$305,A36,Components!$D$6:$D$305,"PJ",Components!$M$6:$M$305,"YES")&gt;0,COUNTIFS(Components!$B$6:$B$305,"EA",Components!$C$6:$C$305,A36,Components!$D$6:$D$305,"LK",Components!$M$6:$M$305,"YES")&gt;0,COUNTIFS(Components!$B$6:$B$305,"EA",Components!$C$6:$C$305,A36,Components!$M$6:$M$305,"YES",Components!$N$6:$N$305,"&lt;&gt;COMPLETE")=0),SUMIFS(Components!$I$6:$I$305,Components!$B$6:$B$305,"EA",Components!$C$6:$C$305,A36,Components!$D$6:$D$305,"LK",Components!$M$6:$M$305,"YES"),""))</x:f>
      </x:c>
      <x:c r="I36" s="41" t="str">
        <x:f>IF(COUNT(F36:H36)=3,F36-G36-H36,"")</x:f>
      </x:c>
      <x:c r="J36" s="36"/>
      <x:c r="K36" s="36"/>
      <x:c r="L36" s="41" t="str">
        <x:f>IF(COUNT(I36,K36)=2,IF(J36="DEDUCTION",IF(K36&gt;=0,I36-K36,""),IF(J36="BOUND",IF(K36&lt;=I36+Profile!$B$18,K36,""),"")),"")</x:f>
      </x:c>
      <x:c r="M36" s="36"/>
      <x:c r="N36" s="36"/>
      <x:c r="O36" s="41" t="str">
        <x:f>IF(COUNT(L36:N36)=3,IF(AND(M36&gt;=0,N36&gt;=0),MAX(0,L36-M36)-N36,""),"")</x:f>
      </x:c>
      <x:c r="P36" s="41" t="str">
        <x:f>IF(A36="","",IF(AND(COUNTIF($A$6:$A$55,A36)=1,B36&lt;&gt;"",C36&lt;&gt;"",D36&lt;&gt;"",E36="YES",ISNUMBER(L36),AND(ISNUMBER(O36),O36&gt;=0)),"CALCULATED - EA","HOLD: COMPLETE ACCOUNT"))</x:f>
      </x:c>
    </x:row>
    <x:row r="37" ht="23" customHeight="1">
      <x:c r="A37" s="38"/>
      <x:c r="B37" s="36"/>
      <x:c r="C37" s="36"/>
      <x:c r="D37" s="36"/>
      <x:c r="E37" s="36"/>
      <x:c r="F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BL",Components!$M$6:$M$305,"YES"),""))</x:f>
      </x:c>
      <x:c r="G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PJ",Components!$M$6:$M$305,"YES"),""))</x:f>
      </x:c>
      <x:c r="H37" s="41" t="str">
        <x:f>IF(A37="","",IF(AND(COUNTIFS(Components!$B$6:$B$305,"EA",Components!$C$6:$C$305,A37,Components!$D$6:$D$305,"BL",Components!$M$6:$M$305,"YES")&gt;0,COUNTIFS(Components!$B$6:$B$305,"EA",Components!$C$6:$C$305,A37,Components!$D$6:$D$305,"PJ",Components!$M$6:$M$305,"YES")&gt;0,COUNTIFS(Components!$B$6:$B$305,"EA",Components!$C$6:$C$305,A37,Components!$D$6:$D$305,"LK",Components!$M$6:$M$305,"YES")&gt;0,COUNTIFS(Components!$B$6:$B$305,"EA",Components!$C$6:$C$305,A37,Components!$M$6:$M$305,"YES",Components!$N$6:$N$305,"&lt;&gt;COMPLETE")=0),SUMIFS(Components!$I$6:$I$305,Components!$B$6:$B$305,"EA",Components!$C$6:$C$305,A37,Components!$D$6:$D$305,"LK",Components!$M$6:$M$305,"YES"),""))</x:f>
      </x:c>
      <x:c r="I37" s="41" t="str">
        <x:f>IF(COUNT(F37:H37)=3,F37-G37-H37,"")</x:f>
      </x:c>
      <x:c r="J37" s="36"/>
      <x:c r="K37" s="36"/>
      <x:c r="L37" s="41" t="str">
        <x:f>IF(COUNT(I37,K37)=2,IF(J37="DEDUCTION",IF(K37&gt;=0,I37-K37,""),IF(J37="BOUND",IF(K37&lt;=I37+Profile!$B$18,K37,""),"")),"")</x:f>
      </x:c>
      <x:c r="M37" s="36"/>
      <x:c r="N37" s="36"/>
      <x:c r="O37" s="41" t="str">
        <x:f>IF(COUNT(L37:N37)=3,IF(AND(M37&gt;=0,N37&gt;=0),MAX(0,L37-M37)-N37,""),"")</x:f>
      </x:c>
      <x:c r="P37" s="41" t="str">
        <x:f>IF(A37="","",IF(AND(COUNTIF($A$6:$A$55,A37)=1,B37&lt;&gt;"",C37&lt;&gt;"",D37&lt;&gt;"",E37="YES",ISNUMBER(L37),AND(ISNUMBER(O37),O37&gt;=0)),"CALCULATED - EA","HOLD: COMPLETE ACCOUNT"))</x:f>
      </x:c>
    </x:row>
    <x:row r="38" ht="23" customHeight="1">
      <x:c r="A38" s="38"/>
      <x:c r="B38" s="36"/>
      <x:c r="C38" s="36"/>
      <x:c r="D38" s="36"/>
      <x:c r="E38" s="36"/>
      <x:c r="F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BL",Components!$M$6:$M$305,"YES"),""))</x:f>
      </x:c>
      <x:c r="G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PJ",Components!$M$6:$M$305,"YES"),""))</x:f>
      </x:c>
      <x:c r="H38" s="41" t="str">
        <x:f>IF(A38="","",IF(AND(COUNTIFS(Components!$B$6:$B$305,"EA",Components!$C$6:$C$305,A38,Components!$D$6:$D$305,"BL",Components!$M$6:$M$305,"YES")&gt;0,COUNTIFS(Components!$B$6:$B$305,"EA",Components!$C$6:$C$305,A38,Components!$D$6:$D$305,"PJ",Components!$M$6:$M$305,"YES")&gt;0,COUNTIFS(Components!$B$6:$B$305,"EA",Components!$C$6:$C$305,A38,Components!$D$6:$D$305,"LK",Components!$M$6:$M$305,"YES")&gt;0,COUNTIFS(Components!$B$6:$B$305,"EA",Components!$C$6:$C$305,A38,Components!$M$6:$M$305,"YES",Components!$N$6:$N$305,"&lt;&gt;COMPLETE")=0),SUMIFS(Components!$I$6:$I$305,Components!$B$6:$B$305,"EA",Components!$C$6:$C$305,A38,Components!$D$6:$D$305,"LK",Components!$M$6:$M$305,"YES"),""))</x:f>
      </x:c>
      <x:c r="I38" s="41" t="str">
        <x:f>IF(COUNT(F38:H38)=3,F38-G38-H38,"")</x:f>
      </x:c>
      <x:c r="J38" s="36"/>
      <x:c r="K38" s="36"/>
      <x:c r="L38" s="41" t="str">
        <x:f>IF(COUNT(I38,K38)=2,IF(J38="DEDUCTION",IF(K38&gt;=0,I38-K38,""),IF(J38="BOUND",IF(K38&lt;=I38+Profile!$B$18,K38,""),"")),"")</x:f>
      </x:c>
      <x:c r="M38" s="36"/>
      <x:c r="N38" s="36"/>
      <x:c r="O38" s="41" t="str">
        <x:f>IF(COUNT(L38:N38)=3,IF(AND(M38&gt;=0,N38&gt;=0),MAX(0,L38-M38)-N38,""),"")</x:f>
      </x:c>
      <x:c r="P38" s="41" t="str">
        <x:f>IF(A38="","",IF(AND(COUNTIF($A$6:$A$55,A38)=1,B38&lt;&gt;"",C38&lt;&gt;"",D38&lt;&gt;"",E38="YES",ISNUMBER(L38),AND(ISNUMBER(O38),O38&gt;=0)),"CALCULATED - EA","HOLD: COMPLETE ACCOUNT"))</x:f>
      </x:c>
    </x:row>
    <x:row r="39" ht="23" customHeight="1">
      <x:c r="A39" s="38"/>
      <x:c r="B39" s="36"/>
      <x:c r="C39" s="36"/>
      <x:c r="D39" s="36"/>
      <x:c r="E39" s="36"/>
      <x:c r="F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BL",Components!$M$6:$M$305,"YES"),""))</x:f>
      </x:c>
      <x:c r="G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PJ",Components!$M$6:$M$305,"YES"),""))</x:f>
      </x:c>
      <x:c r="H39" s="41" t="str">
        <x:f>IF(A39="","",IF(AND(COUNTIFS(Components!$B$6:$B$305,"EA",Components!$C$6:$C$305,A39,Components!$D$6:$D$305,"BL",Components!$M$6:$M$305,"YES")&gt;0,COUNTIFS(Components!$B$6:$B$305,"EA",Components!$C$6:$C$305,A39,Components!$D$6:$D$305,"PJ",Components!$M$6:$M$305,"YES")&gt;0,COUNTIFS(Components!$B$6:$B$305,"EA",Components!$C$6:$C$305,A39,Components!$D$6:$D$305,"LK",Components!$M$6:$M$305,"YES")&gt;0,COUNTIFS(Components!$B$6:$B$305,"EA",Components!$C$6:$C$305,A39,Components!$M$6:$M$305,"YES",Components!$N$6:$N$305,"&lt;&gt;COMPLETE")=0),SUMIFS(Components!$I$6:$I$305,Components!$B$6:$B$305,"EA",Components!$C$6:$C$305,A39,Components!$D$6:$D$305,"LK",Components!$M$6:$M$305,"YES"),""))</x:f>
      </x:c>
      <x:c r="I39" s="41" t="str">
        <x:f>IF(COUNT(F39:H39)=3,F39-G39-H39,"")</x:f>
      </x:c>
      <x:c r="J39" s="36"/>
      <x:c r="K39" s="36"/>
      <x:c r="L39" s="41" t="str">
        <x:f>IF(COUNT(I39,K39)=2,IF(J39="DEDUCTION",IF(K39&gt;=0,I39-K39,""),IF(J39="BOUND",IF(K39&lt;=I39+Profile!$B$18,K39,""),"")),"")</x:f>
      </x:c>
      <x:c r="M39" s="36"/>
      <x:c r="N39" s="36"/>
      <x:c r="O39" s="41" t="str">
        <x:f>IF(COUNT(L39:N39)=3,IF(AND(M39&gt;=0,N39&gt;=0),MAX(0,L39-M39)-N39,""),"")</x:f>
      </x:c>
      <x:c r="P39" s="41" t="str">
        <x:f>IF(A39="","",IF(AND(COUNTIF($A$6:$A$55,A39)=1,B39&lt;&gt;"",C39&lt;&gt;"",D39&lt;&gt;"",E39="YES",ISNUMBER(L39),AND(ISNUMBER(O39),O39&gt;=0)),"CALCULATED - EA","HOLD: COMPLETE ACCOUNT"))</x:f>
      </x:c>
    </x:row>
    <x:row r="40" ht="23" customHeight="1">
      <x:c r="A40" s="38"/>
      <x:c r="B40" s="36"/>
      <x:c r="C40" s="36"/>
      <x:c r="D40" s="36"/>
      <x:c r="E40" s="36"/>
      <x:c r="F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BL",Components!$M$6:$M$305,"YES"),""))</x:f>
      </x:c>
      <x:c r="G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PJ",Components!$M$6:$M$305,"YES"),""))</x:f>
      </x:c>
      <x:c r="H40" s="41" t="str">
        <x:f>IF(A40="","",IF(AND(COUNTIFS(Components!$B$6:$B$305,"EA",Components!$C$6:$C$305,A40,Components!$D$6:$D$305,"BL",Components!$M$6:$M$305,"YES")&gt;0,COUNTIFS(Components!$B$6:$B$305,"EA",Components!$C$6:$C$305,A40,Components!$D$6:$D$305,"PJ",Components!$M$6:$M$305,"YES")&gt;0,COUNTIFS(Components!$B$6:$B$305,"EA",Components!$C$6:$C$305,A40,Components!$D$6:$D$305,"LK",Components!$M$6:$M$305,"YES")&gt;0,COUNTIFS(Components!$B$6:$B$305,"EA",Components!$C$6:$C$305,A40,Components!$M$6:$M$305,"YES",Components!$N$6:$N$305,"&lt;&gt;COMPLETE")=0),SUMIFS(Components!$I$6:$I$305,Components!$B$6:$B$305,"EA",Components!$C$6:$C$305,A40,Components!$D$6:$D$305,"LK",Components!$M$6:$M$305,"YES"),""))</x:f>
      </x:c>
      <x:c r="I40" s="41" t="str">
        <x:f>IF(COUNT(F40:H40)=3,F40-G40-H40,"")</x:f>
      </x:c>
      <x:c r="J40" s="36"/>
      <x:c r="K40" s="36"/>
      <x:c r="L40" s="41" t="str">
        <x:f>IF(COUNT(I40,K40)=2,IF(J40="DEDUCTION",IF(K40&gt;=0,I40-K40,""),IF(J40="BOUND",IF(K40&lt;=I40+Profile!$B$18,K40,""),"")),"")</x:f>
      </x:c>
      <x:c r="M40" s="36"/>
      <x:c r="N40" s="36"/>
      <x:c r="O40" s="41" t="str">
        <x:f>IF(COUNT(L40:N40)=3,IF(AND(M40&gt;=0,N40&gt;=0),MAX(0,L40-M40)-N40,""),"")</x:f>
      </x:c>
      <x:c r="P40" s="41" t="str">
        <x:f>IF(A40="","",IF(AND(COUNTIF($A$6:$A$55,A40)=1,B40&lt;&gt;"",C40&lt;&gt;"",D40&lt;&gt;"",E40="YES",ISNUMBER(L40),AND(ISNUMBER(O40),O40&gt;=0)),"CALCULATED - EA","HOLD: COMPLETE ACCOUNT"))</x:f>
      </x:c>
    </x:row>
    <x:row r="41" ht="23" customHeight="1">
      <x:c r="A41" s="38"/>
      <x:c r="B41" s="36"/>
      <x:c r="C41" s="36"/>
      <x:c r="D41" s="36"/>
      <x:c r="E41" s="36"/>
      <x:c r="F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BL",Components!$M$6:$M$305,"YES"),""))</x:f>
      </x:c>
      <x:c r="G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PJ",Components!$M$6:$M$305,"YES"),""))</x:f>
      </x:c>
      <x:c r="H41" s="41" t="str">
        <x:f>IF(A41="","",IF(AND(COUNTIFS(Components!$B$6:$B$305,"EA",Components!$C$6:$C$305,A41,Components!$D$6:$D$305,"BL",Components!$M$6:$M$305,"YES")&gt;0,COUNTIFS(Components!$B$6:$B$305,"EA",Components!$C$6:$C$305,A41,Components!$D$6:$D$305,"PJ",Components!$M$6:$M$305,"YES")&gt;0,COUNTIFS(Components!$B$6:$B$305,"EA",Components!$C$6:$C$305,A41,Components!$D$6:$D$305,"LK",Components!$M$6:$M$305,"YES")&gt;0,COUNTIFS(Components!$B$6:$B$305,"EA",Components!$C$6:$C$305,A41,Components!$M$6:$M$305,"YES",Components!$N$6:$N$305,"&lt;&gt;COMPLETE")=0),SUMIFS(Components!$I$6:$I$305,Components!$B$6:$B$305,"EA",Components!$C$6:$C$305,A41,Components!$D$6:$D$305,"LK",Components!$M$6:$M$305,"YES"),""))</x:f>
      </x:c>
      <x:c r="I41" s="41" t="str">
        <x:f>IF(COUNT(F41:H41)=3,F41-G41-H41,"")</x:f>
      </x:c>
      <x:c r="J41" s="36"/>
      <x:c r="K41" s="36"/>
      <x:c r="L41" s="41" t="str">
        <x:f>IF(COUNT(I41,K41)=2,IF(J41="DEDUCTION",IF(K41&gt;=0,I41-K41,""),IF(J41="BOUND",IF(K41&lt;=I41+Profile!$B$18,K41,""),"")),"")</x:f>
      </x:c>
      <x:c r="M41" s="36"/>
      <x:c r="N41" s="36"/>
      <x:c r="O41" s="41" t="str">
        <x:f>IF(COUNT(L41:N41)=3,IF(AND(M41&gt;=0,N41&gt;=0),MAX(0,L41-M41)-N41,""),"")</x:f>
      </x:c>
      <x:c r="P41" s="41" t="str">
        <x:f>IF(A41="","",IF(AND(COUNTIF($A$6:$A$55,A41)=1,B41&lt;&gt;"",C41&lt;&gt;"",D41&lt;&gt;"",E41="YES",ISNUMBER(L41),AND(ISNUMBER(O41),O41&gt;=0)),"CALCULATED - EA","HOLD: COMPLETE ACCOUNT"))</x:f>
      </x:c>
    </x:row>
    <x:row r="42" ht="23" customHeight="1">
      <x:c r="A42" s="38"/>
      <x:c r="B42" s="36"/>
      <x:c r="C42" s="36"/>
      <x:c r="D42" s="36"/>
      <x:c r="E42" s="36"/>
      <x:c r="F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BL",Components!$M$6:$M$305,"YES"),""))</x:f>
      </x:c>
      <x:c r="G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PJ",Components!$M$6:$M$305,"YES"),""))</x:f>
      </x:c>
      <x:c r="H42" s="41" t="str">
        <x:f>IF(A42="","",IF(AND(COUNTIFS(Components!$B$6:$B$305,"EA",Components!$C$6:$C$305,A42,Components!$D$6:$D$305,"BL",Components!$M$6:$M$305,"YES")&gt;0,COUNTIFS(Components!$B$6:$B$305,"EA",Components!$C$6:$C$305,A42,Components!$D$6:$D$305,"PJ",Components!$M$6:$M$305,"YES")&gt;0,COUNTIFS(Components!$B$6:$B$305,"EA",Components!$C$6:$C$305,A42,Components!$D$6:$D$305,"LK",Components!$M$6:$M$305,"YES")&gt;0,COUNTIFS(Components!$B$6:$B$305,"EA",Components!$C$6:$C$305,A42,Components!$M$6:$M$305,"YES",Components!$N$6:$N$305,"&lt;&gt;COMPLETE")=0),SUMIFS(Components!$I$6:$I$305,Components!$B$6:$B$305,"EA",Components!$C$6:$C$305,A42,Components!$D$6:$D$305,"LK",Components!$M$6:$M$305,"YES"),""))</x:f>
      </x:c>
      <x:c r="I42" s="41" t="str">
        <x:f>IF(COUNT(F42:H42)=3,F42-G42-H42,"")</x:f>
      </x:c>
      <x:c r="J42" s="36"/>
      <x:c r="K42" s="36"/>
      <x:c r="L42" s="41" t="str">
        <x:f>IF(COUNT(I42,K42)=2,IF(J42="DEDUCTION",IF(K42&gt;=0,I42-K42,""),IF(J42="BOUND",IF(K42&lt;=I42+Profile!$B$18,K42,""),"")),"")</x:f>
      </x:c>
      <x:c r="M42" s="36"/>
      <x:c r="N42" s="36"/>
      <x:c r="O42" s="41" t="str">
        <x:f>IF(COUNT(L42:N42)=3,IF(AND(M42&gt;=0,N42&gt;=0),MAX(0,L42-M42)-N42,""),"")</x:f>
      </x:c>
      <x:c r="P42" s="41" t="str">
        <x:f>IF(A42="","",IF(AND(COUNTIF($A$6:$A$55,A42)=1,B42&lt;&gt;"",C42&lt;&gt;"",D42&lt;&gt;"",E42="YES",ISNUMBER(L42),AND(ISNUMBER(O42),O42&gt;=0)),"CALCULATED - EA","HOLD: COMPLETE ACCOUNT"))</x:f>
      </x:c>
    </x:row>
    <x:row r="43" ht="23" customHeight="1">
      <x:c r="A43" s="38"/>
      <x:c r="B43" s="36"/>
      <x:c r="C43" s="36"/>
      <x:c r="D43" s="36"/>
      <x:c r="E43" s="36"/>
      <x:c r="F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BL",Components!$M$6:$M$305,"YES"),""))</x:f>
      </x:c>
      <x:c r="G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PJ",Components!$M$6:$M$305,"YES"),""))</x:f>
      </x:c>
      <x:c r="H43" s="41" t="str">
        <x:f>IF(A43="","",IF(AND(COUNTIFS(Components!$B$6:$B$305,"EA",Components!$C$6:$C$305,A43,Components!$D$6:$D$305,"BL",Components!$M$6:$M$305,"YES")&gt;0,COUNTIFS(Components!$B$6:$B$305,"EA",Components!$C$6:$C$305,A43,Components!$D$6:$D$305,"PJ",Components!$M$6:$M$305,"YES")&gt;0,COUNTIFS(Components!$B$6:$B$305,"EA",Components!$C$6:$C$305,A43,Components!$D$6:$D$305,"LK",Components!$M$6:$M$305,"YES")&gt;0,COUNTIFS(Components!$B$6:$B$305,"EA",Components!$C$6:$C$305,A43,Components!$M$6:$M$305,"YES",Components!$N$6:$N$305,"&lt;&gt;COMPLETE")=0),SUMIFS(Components!$I$6:$I$305,Components!$B$6:$B$305,"EA",Components!$C$6:$C$305,A43,Components!$D$6:$D$305,"LK",Components!$M$6:$M$305,"YES"),""))</x:f>
      </x:c>
      <x:c r="I43" s="41" t="str">
        <x:f>IF(COUNT(F43:H43)=3,F43-G43-H43,"")</x:f>
      </x:c>
      <x:c r="J43" s="36"/>
      <x:c r="K43" s="36"/>
      <x:c r="L43" s="41" t="str">
        <x:f>IF(COUNT(I43,K43)=2,IF(J43="DEDUCTION",IF(K43&gt;=0,I43-K43,""),IF(J43="BOUND",IF(K43&lt;=I43+Profile!$B$18,K43,""),"")),"")</x:f>
      </x:c>
      <x:c r="M43" s="36"/>
      <x:c r="N43" s="36"/>
      <x:c r="O43" s="41" t="str">
        <x:f>IF(COUNT(L43:N43)=3,IF(AND(M43&gt;=0,N43&gt;=0),MAX(0,L43-M43)-N43,""),"")</x:f>
      </x:c>
      <x:c r="P43" s="41" t="str">
        <x:f>IF(A43="","",IF(AND(COUNTIF($A$6:$A$55,A43)=1,B43&lt;&gt;"",C43&lt;&gt;"",D43&lt;&gt;"",E43="YES",ISNUMBER(L43),AND(ISNUMBER(O43),O43&gt;=0)),"CALCULATED - EA","HOLD: COMPLETE ACCOUNT"))</x:f>
      </x:c>
    </x:row>
    <x:row r="44" ht="23" customHeight="1">
      <x:c r="A44" s="38"/>
      <x:c r="B44" s="36"/>
      <x:c r="C44" s="36"/>
      <x:c r="D44" s="36"/>
      <x:c r="E44" s="36"/>
      <x:c r="F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BL",Components!$M$6:$M$305,"YES"),""))</x:f>
      </x:c>
      <x:c r="G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PJ",Components!$M$6:$M$305,"YES"),""))</x:f>
      </x:c>
      <x:c r="H44" s="41" t="str">
        <x:f>IF(A44="","",IF(AND(COUNTIFS(Components!$B$6:$B$305,"EA",Components!$C$6:$C$305,A44,Components!$D$6:$D$305,"BL",Components!$M$6:$M$305,"YES")&gt;0,COUNTIFS(Components!$B$6:$B$305,"EA",Components!$C$6:$C$305,A44,Components!$D$6:$D$305,"PJ",Components!$M$6:$M$305,"YES")&gt;0,COUNTIFS(Components!$B$6:$B$305,"EA",Components!$C$6:$C$305,A44,Components!$D$6:$D$305,"LK",Components!$M$6:$M$305,"YES")&gt;0,COUNTIFS(Components!$B$6:$B$305,"EA",Components!$C$6:$C$305,A44,Components!$M$6:$M$305,"YES",Components!$N$6:$N$305,"&lt;&gt;COMPLETE")=0),SUMIFS(Components!$I$6:$I$305,Components!$B$6:$B$305,"EA",Components!$C$6:$C$305,A44,Components!$D$6:$D$305,"LK",Components!$M$6:$M$305,"YES"),""))</x:f>
      </x:c>
      <x:c r="I44" s="41" t="str">
        <x:f>IF(COUNT(F44:H44)=3,F44-G44-H44,"")</x:f>
      </x:c>
      <x:c r="J44" s="36"/>
      <x:c r="K44" s="36"/>
      <x:c r="L44" s="41" t="str">
        <x:f>IF(COUNT(I44,K44)=2,IF(J44="DEDUCTION",IF(K44&gt;=0,I44-K44,""),IF(J44="BOUND",IF(K44&lt;=I44+Profile!$B$18,K44,""),"")),"")</x:f>
      </x:c>
      <x:c r="M44" s="36"/>
      <x:c r="N44" s="36"/>
      <x:c r="O44" s="41" t="str">
        <x:f>IF(COUNT(L44:N44)=3,IF(AND(M44&gt;=0,N44&gt;=0),MAX(0,L44-M44)-N44,""),"")</x:f>
      </x:c>
      <x:c r="P44" s="41" t="str">
        <x:f>IF(A44="","",IF(AND(COUNTIF($A$6:$A$55,A44)=1,B44&lt;&gt;"",C44&lt;&gt;"",D44&lt;&gt;"",E44="YES",ISNUMBER(L44),AND(ISNUMBER(O44),O44&gt;=0)),"CALCULATED - EA","HOLD: COMPLETE ACCOUNT"))</x:f>
      </x:c>
    </x:row>
    <x:row r="45" ht="23" customHeight="1">
      <x:c r="A45" s="38"/>
      <x:c r="B45" s="36"/>
      <x:c r="C45" s="36"/>
      <x:c r="D45" s="36"/>
      <x:c r="E45" s="36"/>
      <x:c r="F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BL",Components!$M$6:$M$305,"YES"),""))</x:f>
      </x:c>
      <x:c r="G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PJ",Components!$M$6:$M$305,"YES"),""))</x:f>
      </x:c>
      <x:c r="H45" s="41" t="str">
        <x:f>IF(A45="","",IF(AND(COUNTIFS(Components!$B$6:$B$305,"EA",Components!$C$6:$C$305,A45,Components!$D$6:$D$305,"BL",Components!$M$6:$M$305,"YES")&gt;0,COUNTIFS(Components!$B$6:$B$305,"EA",Components!$C$6:$C$305,A45,Components!$D$6:$D$305,"PJ",Components!$M$6:$M$305,"YES")&gt;0,COUNTIFS(Components!$B$6:$B$305,"EA",Components!$C$6:$C$305,A45,Components!$D$6:$D$305,"LK",Components!$M$6:$M$305,"YES")&gt;0,COUNTIFS(Components!$B$6:$B$305,"EA",Components!$C$6:$C$305,A45,Components!$M$6:$M$305,"YES",Components!$N$6:$N$305,"&lt;&gt;COMPLETE")=0),SUMIFS(Components!$I$6:$I$305,Components!$B$6:$B$305,"EA",Components!$C$6:$C$305,A45,Components!$D$6:$D$305,"LK",Components!$M$6:$M$305,"YES"),""))</x:f>
      </x:c>
      <x:c r="I45" s="41" t="str">
        <x:f>IF(COUNT(F45:H45)=3,F45-G45-H45,"")</x:f>
      </x:c>
      <x:c r="J45" s="36"/>
      <x:c r="K45" s="36"/>
      <x:c r="L45" s="41" t="str">
        <x:f>IF(COUNT(I45,K45)=2,IF(J45="DEDUCTION",IF(K45&gt;=0,I45-K45,""),IF(J45="BOUND",IF(K45&lt;=I45+Profile!$B$18,K45,""),"")),"")</x:f>
      </x:c>
      <x:c r="M45" s="36"/>
      <x:c r="N45" s="36"/>
      <x:c r="O45" s="41" t="str">
        <x:f>IF(COUNT(L45:N45)=3,IF(AND(M45&gt;=0,N45&gt;=0),MAX(0,L45-M45)-N45,""),"")</x:f>
      </x:c>
      <x:c r="P45" s="41" t="str">
        <x:f>IF(A45="","",IF(AND(COUNTIF($A$6:$A$55,A45)=1,B45&lt;&gt;"",C45&lt;&gt;"",D45&lt;&gt;"",E45="YES",ISNUMBER(L45),AND(ISNUMBER(O45),O45&gt;=0)),"CALCULATED - EA","HOLD: COMPLETE ACCOUNT"))</x:f>
      </x:c>
    </x:row>
    <x:row r="46" ht="23" customHeight="1">
      <x:c r="A46" s="38"/>
      <x:c r="B46" s="36"/>
      <x:c r="C46" s="36"/>
      <x:c r="D46" s="36"/>
      <x:c r="E46" s="36"/>
      <x:c r="F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BL",Components!$M$6:$M$305,"YES"),""))</x:f>
      </x:c>
      <x:c r="G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PJ",Components!$M$6:$M$305,"YES"),""))</x:f>
      </x:c>
      <x:c r="H46" s="41" t="str">
        <x:f>IF(A46="","",IF(AND(COUNTIFS(Components!$B$6:$B$305,"EA",Components!$C$6:$C$305,A46,Components!$D$6:$D$305,"BL",Components!$M$6:$M$305,"YES")&gt;0,COUNTIFS(Components!$B$6:$B$305,"EA",Components!$C$6:$C$305,A46,Components!$D$6:$D$305,"PJ",Components!$M$6:$M$305,"YES")&gt;0,COUNTIFS(Components!$B$6:$B$305,"EA",Components!$C$6:$C$305,A46,Components!$D$6:$D$305,"LK",Components!$M$6:$M$305,"YES")&gt;0,COUNTIFS(Components!$B$6:$B$305,"EA",Components!$C$6:$C$305,A46,Components!$M$6:$M$305,"YES",Components!$N$6:$N$305,"&lt;&gt;COMPLETE")=0),SUMIFS(Components!$I$6:$I$305,Components!$B$6:$B$305,"EA",Components!$C$6:$C$305,A46,Components!$D$6:$D$305,"LK",Components!$M$6:$M$305,"YES"),""))</x:f>
      </x:c>
      <x:c r="I46" s="41" t="str">
        <x:f>IF(COUNT(F46:H46)=3,F46-G46-H46,"")</x:f>
      </x:c>
      <x:c r="J46" s="36"/>
      <x:c r="K46" s="36"/>
      <x:c r="L46" s="41" t="str">
        <x:f>IF(COUNT(I46,K46)=2,IF(J46="DEDUCTION",IF(K46&gt;=0,I46-K46,""),IF(J46="BOUND",IF(K46&lt;=I46+Profile!$B$18,K46,""),"")),"")</x:f>
      </x:c>
      <x:c r="M46" s="36"/>
      <x:c r="N46" s="36"/>
      <x:c r="O46" s="41" t="str">
        <x:f>IF(COUNT(L46:N46)=3,IF(AND(M46&gt;=0,N46&gt;=0),MAX(0,L46-M46)-N46,""),"")</x:f>
      </x:c>
      <x:c r="P46" s="41" t="str">
        <x:f>IF(A46="","",IF(AND(COUNTIF($A$6:$A$55,A46)=1,B46&lt;&gt;"",C46&lt;&gt;"",D46&lt;&gt;"",E46="YES",ISNUMBER(L46),AND(ISNUMBER(O46),O46&gt;=0)),"CALCULATED - EA","HOLD: COMPLETE ACCOUNT"))</x:f>
      </x:c>
    </x:row>
    <x:row r="47" ht="23" customHeight="1">
      <x:c r="A47" s="38"/>
      <x:c r="B47" s="36"/>
      <x:c r="C47" s="36"/>
      <x:c r="D47" s="36"/>
      <x:c r="E47" s="36"/>
      <x:c r="F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BL",Components!$M$6:$M$305,"YES"),""))</x:f>
      </x:c>
      <x:c r="G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PJ",Components!$M$6:$M$305,"YES"),""))</x:f>
      </x:c>
      <x:c r="H47" s="41" t="str">
        <x:f>IF(A47="","",IF(AND(COUNTIFS(Components!$B$6:$B$305,"EA",Components!$C$6:$C$305,A47,Components!$D$6:$D$305,"BL",Components!$M$6:$M$305,"YES")&gt;0,COUNTIFS(Components!$B$6:$B$305,"EA",Components!$C$6:$C$305,A47,Components!$D$6:$D$305,"PJ",Components!$M$6:$M$305,"YES")&gt;0,COUNTIFS(Components!$B$6:$B$305,"EA",Components!$C$6:$C$305,A47,Components!$D$6:$D$305,"LK",Components!$M$6:$M$305,"YES")&gt;0,COUNTIFS(Components!$B$6:$B$305,"EA",Components!$C$6:$C$305,A47,Components!$M$6:$M$305,"YES",Components!$N$6:$N$305,"&lt;&gt;COMPLETE")=0),SUMIFS(Components!$I$6:$I$305,Components!$B$6:$B$305,"EA",Components!$C$6:$C$305,A47,Components!$D$6:$D$305,"LK",Components!$M$6:$M$305,"YES"),""))</x:f>
      </x:c>
      <x:c r="I47" s="41" t="str">
        <x:f>IF(COUNT(F47:H47)=3,F47-G47-H47,"")</x:f>
      </x:c>
      <x:c r="J47" s="36"/>
      <x:c r="K47" s="36"/>
      <x:c r="L47" s="41" t="str">
        <x:f>IF(COUNT(I47,K47)=2,IF(J47="DEDUCTION",IF(K47&gt;=0,I47-K47,""),IF(J47="BOUND",IF(K47&lt;=I47+Profile!$B$18,K47,""),"")),"")</x:f>
      </x:c>
      <x:c r="M47" s="36"/>
      <x:c r="N47" s="36"/>
      <x:c r="O47" s="41" t="str">
        <x:f>IF(COUNT(L47:N47)=3,IF(AND(M47&gt;=0,N47&gt;=0),MAX(0,L47-M47)-N47,""),"")</x:f>
      </x:c>
      <x:c r="P47" s="41" t="str">
        <x:f>IF(A47="","",IF(AND(COUNTIF($A$6:$A$55,A47)=1,B47&lt;&gt;"",C47&lt;&gt;"",D47&lt;&gt;"",E47="YES",ISNUMBER(L47),AND(ISNUMBER(O47),O47&gt;=0)),"CALCULATED - EA","HOLD: COMPLETE ACCOUNT"))</x:f>
      </x:c>
    </x:row>
    <x:row r="48" ht="23" customHeight="1">
      <x:c r="A48" s="38"/>
      <x:c r="B48" s="36"/>
      <x:c r="C48" s="36"/>
      <x:c r="D48" s="36"/>
      <x:c r="E48" s="36"/>
      <x:c r="F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BL",Components!$M$6:$M$305,"YES"),""))</x:f>
      </x:c>
      <x:c r="G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PJ",Components!$M$6:$M$305,"YES"),""))</x:f>
      </x:c>
      <x:c r="H48" s="41" t="str">
        <x:f>IF(A48="","",IF(AND(COUNTIFS(Components!$B$6:$B$305,"EA",Components!$C$6:$C$305,A48,Components!$D$6:$D$305,"BL",Components!$M$6:$M$305,"YES")&gt;0,COUNTIFS(Components!$B$6:$B$305,"EA",Components!$C$6:$C$305,A48,Components!$D$6:$D$305,"PJ",Components!$M$6:$M$305,"YES")&gt;0,COUNTIFS(Components!$B$6:$B$305,"EA",Components!$C$6:$C$305,A48,Components!$D$6:$D$305,"LK",Components!$M$6:$M$305,"YES")&gt;0,COUNTIFS(Components!$B$6:$B$305,"EA",Components!$C$6:$C$305,A48,Components!$M$6:$M$305,"YES",Components!$N$6:$N$305,"&lt;&gt;COMPLETE")=0),SUMIFS(Components!$I$6:$I$305,Components!$B$6:$B$305,"EA",Components!$C$6:$C$305,A48,Components!$D$6:$D$305,"LK",Components!$M$6:$M$305,"YES"),""))</x:f>
      </x:c>
      <x:c r="I48" s="41" t="str">
        <x:f>IF(COUNT(F48:H48)=3,F48-G48-H48,"")</x:f>
      </x:c>
      <x:c r="J48" s="36"/>
      <x:c r="K48" s="36"/>
      <x:c r="L48" s="41" t="str">
        <x:f>IF(COUNT(I48,K48)=2,IF(J48="DEDUCTION",IF(K48&gt;=0,I48-K48,""),IF(J48="BOUND",IF(K48&lt;=I48+Profile!$B$18,K48,""),"")),"")</x:f>
      </x:c>
      <x:c r="M48" s="36"/>
      <x:c r="N48" s="36"/>
      <x:c r="O48" s="41" t="str">
        <x:f>IF(COUNT(L48:N48)=3,IF(AND(M48&gt;=0,N48&gt;=0),MAX(0,L48-M48)-N48,""),"")</x:f>
      </x:c>
      <x:c r="P48" s="41" t="str">
        <x:f>IF(A48="","",IF(AND(COUNTIF($A$6:$A$55,A48)=1,B48&lt;&gt;"",C48&lt;&gt;"",D48&lt;&gt;"",E48="YES",ISNUMBER(L48),AND(ISNUMBER(O48),O48&gt;=0)),"CALCULATED - EA","HOLD: COMPLETE ACCOUNT"))</x:f>
      </x:c>
    </x:row>
    <x:row r="49" ht="23" customHeight="1">
      <x:c r="A49" s="38"/>
      <x:c r="B49" s="36"/>
      <x:c r="C49" s="36"/>
      <x:c r="D49" s="36"/>
      <x:c r="E49" s="36"/>
      <x:c r="F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BL",Components!$M$6:$M$305,"YES"),""))</x:f>
      </x:c>
      <x:c r="G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PJ",Components!$M$6:$M$305,"YES"),""))</x:f>
      </x:c>
      <x:c r="H49" s="41" t="str">
        <x:f>IF(A49="","",IF(AND(COUNTIFS(Components!$B$6:$B$305,"EA",Components!$C$6:$C$305,A49,Components!$D$6:$D$305,"BL",Components!$M$6:$M$305,"YES")&gt;0,COUNTIFS(Components!$B$6:$B$305,"EA",Components!$C$6:$C$305,A49,Components!$D$6:$D$305,"PJ",Components!$M$6:$M$305,"YES")&gt;0,COUNTIFS(Components!$B$6:$B$305,"EA",Components!$C$6:$C$305,A49,Components!$D$6:$D$305,"LK",Components!$M$6:$M$305,"YES")&gt;0,COUNTIFS(Components!$B$6:$B$305,"EA",Components!$C$6:$C$305,A49,Components!$M$6:$M$305,"YES",Components!$N$6:$N$305,"&lt;&gt;COMPLETE")=0),SUMIFS(Components!$I$6:$I$305,Components!$B$6:$B$305,"EA",Components!$C$6:$C$305,A49,Components!$D$6:$D$305,"LK",Components!$M$6:$M$305,"YES"),""))</x:f>
      </x:c>
      <x:c r="I49" s="41" t="str">
        <x:f>IF(COUNT(F49:H49)=3,F49-G49-H49,"")</x:f>
      </x:c>
      <x:c r="J49" s="36"/>
      <x:c r="K49" s="36"/>
      <x:c r="L49" s="41" t="str">
        <x:f>IF(COUNT(I49,K49)=2,IF(J49="DEDUCTION",IF(K49&gt;=0,I49-K49,""),IF(J49="BOUND",IF(K49&lt;=I49+Profile!$B$18,K49,""),"")),"")</x:f>
      </x:c>
      <x:c r="M49" s="36"/>
      <x:c r="N49" s="36"/>
      <x:c r="O49" s="41" t="str">
        <x:f>IF(COUNT(L49:N49)=3,IF(AND(M49&gt;=0,N49&gt;=0),MAX(0,L49-M49)-N49,""),"")</x:f>
      </x:c>
      <x:c r="P49" s="41" t="str">
        <x:f>IF(A49="","",IF(AND(COUNTIF($A$6:$A$55,A49)=1,B49&lt;&gt;"",C49&lt;&gt;"",D49&lt;&gt;"",E49="YES",ISNUMBER(L49),AND(ISNUMBER(O49),O49&gt;=0)),"CALCULATED - EA","HOLD: COMPLETE ACCOUNT"))</x:f>
      </x:c>
    </x:row>
    <x:row r="50" ht="23" customHeight="1">
      <x:c r="A50" s="38"/>
      <x:c r="B50" s="36"/>
      <x:c r="C50" s="36"/>
      <x:c r="D50" s="36"/>
      <x:c r="E50" s="36"/>
      <x:c r="F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BL",Components!$M$6:$M$305,"YES"),""))</x:f>
      </x:c>
      <x:c r="G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PJ",Components!$M$6:$M$305,"YES"),""))</x:f>
      </x:c>
      <x:c r="H50" s="41" t="str">
        <x:f>IF(A50="","",IF(AND(COUNTIFS(Components!$B$6:$B$305,"EA",Components!$C$6:$C$305,A50,Components!$D$6:$D$305,"BL",Components!$M$6:$M$305,"YES")&gt;0,COUNTIFS(Components!$B$6:$B$305,"EA",Components!$C$6:$C$305,A50,Components!$D$6:$D$305,"PJ",Components!$M$6:$M$305,"YES")&gt;0,COUNTIFS(Components!$B$6:$B$305,"EA",Components!$C$6:$C$305,A50,Components!$D$6:$D$305,"LK",Components!$M$6:$M$305,"YES")&gt;0,COUNTIFS(Components!$B$6:$B$305,"EA",Components!$C$6:$C$305,A50,Components!$M$6:$M$305,"YES",Components!$N$6:$N$305,"&lt;&gt;COMPLETE")=0),SUMIFS(Components!$I$6:$I$305,Components!$B$6:$B$305,"EA",Components!$C$6:$C$305,A50,Components!$D$6:$D$305,"LK",Components!$M$6:$M$305,"YES"),""))</x:f>
      </x:c>
      <x:c r="I50" s="41" t="str">
        <x:f>IF(COUNT(F50:H50)=3,F50-G50-H50,"")</x:f>
      </x:c>
      <x:c r="J50" s="36"/>
      <x:c r="K50" s="36"/>
      <x:c r="L50" s="41" t="str">
        <x:f>IF(COUNT(I50,K50)=2,IF(J50="DEDUCTION",IF(K50&gt;=0,I50-K50,""),IF(J50="BOUND",IF(K50&lt;=I50+Profile!$B$18,K50,""),"")),"")</x:f>
      </x:c>
      <x:c r="M50" s="36"/>
      <x:c r="N50" s="36"/>
      <x:c r="O50" s="41" t="str">
        <x:f>IF(COUNT(L50:N50)=3,IF(AND(M50&gt;=0,N50&gt;=0),MAX(0,L50-M50)-N50,""),"")</x:f>
      </x:c>
      <x:c r="P50" s="41" t="str">
        <x:f>IF(A50="","",IF(AND(COUNTIF($A$6:$A$55,A50)=1,B50&lt;&gt;"",C50&lt;&gt;"",D50&lt;&gt;"",E50="YES",ISNUMBER(L50),AND(ISNUMBER(O50),O50&gt;=0)),"CALCULATED - EA","HOLD: COMPLETE ACCOUNT"))</x:f>
      </x:c>
    </x:row>
    <x:row r="51" ht="23" customHeight="1">
      <x:c r="A51" s="38"/>
      <x:c r="B51" s="36"/>
      <x:c r="C51" s="36"/>
      <x:c r="D51" s="36"/>
      <x:c r="E51" s="36"/>
      <x:c r="F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BL",Components!$M$6:$M$305,"YES"),""))</x:f>
      </x:c>
      <x:c r="G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PJ",Components!$M$6:$M$305,"YES"),""))</x:f>
      </x:c>
      <x:c r="H51" s="41" t="str">
        <x:f>IF(A51="","",IF(AND(COUNTIFS(Components!$B$6:$B$305,"EA",Components!$C$6:$C$305,A51,Components!$D$6:$D$305,"BL",Components!$M$6:$M$305,"YES")&gt;0,COUNTIFS(Components!$B$6:$B$305,"EA",Components!$C$6:$C$305,A51,Components!$D$6:$D$305,"PJ",Components!$M$6:$M$305,"YES")&gt;0,COUNTIFS(Components!$B$6:$B$305,"EA",Components!$C$6:$C$305,A51,Components!$D$6:$D$305,"LK",Components!$M$6:$M$305,"YES")&gt;0,COUNTIFS(Components!$B$6:$B$305,"EA",Components!$C$6:$C$305,A51,Components!$M$6:$M$305,"YES",Components!$N$6:$N$305,"&lt;&gt;COMPLETE")=0),SUMIFS(Components!$I$6:$I$305,Components!$B$6:$B$305,"EA",Components!$C$6:$C$305,A51,Components!$D$6:$D$305,"LK",Components!$M$6:$M$305,"YES"),""))</x:f>
      </x:c>
      <x:c r="I51" s="41" t="str">
        <x:f>IF(COUNT(F51:H51)=3,F51-G51-H51,"")</x:f>
      </x:c>
      <x:c r="J51" s="36"/>
      <x:c r="K51" s="36"/>
      <x:c r="L51" s="41" t="str">
        <x:f>IF(COUNT(I51,K51)=2,IF(J51="DEDUCTION",IF(K51&gt;=0,I51-K51,""),IF(J51="BOUND",IF(K51&lt;=I51+Profile!$B$18,K51,""),"")),"")</x:f>
      </x:c>
      <x:c r="M51" s="36"/>
      <x:c r="N51" s="36"/>
      <x:c r="O51" s="41" t="str">
        <x:f>IF(COUNT(L51:N51)=3,IF(AND(M51&gt;=0,N51&gt;=0),MAX(0,L51-M51)-N51,""),"")</x:f>
      </x:c>
      <x:c r="P51" s="41" t="str">
        <x:f>IF(A51="","",IF(AND(COUNTIF($A$6:$A$55,A51)=1,B51&lt;&gt;"",C51&lt;&gt;"",D51&lt;&gt;"",E51="YES",ISNUMBER(L51),AND(ISNUMBER(O51),O51&gt;=0)),"CALCULATED - EA","HOLD: COMPLETE ACCOUNT"))</x:f>
      </x:c>
    </x:row>
    <x:row r="52" ht="23" customHeight="1">
      <x:c r="A52" s="38"/>
      <x:c r="B52" s="36"/>
      <x:c r="C52" s="36"/>
      <x:c r="D52" s="36"/>
      <x:c r="E52" s="36"/>
      <x:c r="F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BL",Components!$M$6:$M$305,"YES"),""))</x:f>
      </x:c>
      <x:c r="G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PJ",Components!$M$6:$M$305,"YES"),""))</x:f>
      </x:c>
      <x:c r="H52" s="41" t="str">
        <x:f>IF(A52="","",IF(AND(COUNTIFS(Components!$B$6:$B$305,"EA",Components!$C$6:$C$305,A52,Components!$D$6:$D$305,"BL",Components!$M$6:$M$305,"YES")&gt;0,COUNTIFS(Components!$B$6:$B$305,"EA",Components!$C$6:$C$305,A52,Components!$D$6:$D$305,"PJ",Components!$M$6:$M$305,"YES")&gt;0,COUNTIFS(Components!$B$6:$B$305,"EA",Components!$C$6:$C$305,A52,Components!$D$6:$D$305,"LK",Components!$M$6:$M$305,"YES")&gt;0,COUNTIFS(Components!$B$6:$B$305,"EA",Components!$C$6:$C$305,A52,Components!$M$6:$M$305,"YES",Components!$N$6:$N$305,"&lt;&gt;COMPLETE")=0),SUMIFS(Components!$I$6:$I$305,Components!$B$6:$B$305,"EA",Components!$C$6:$C$305,A52,Components!$D$6:$D$305,"LK",Components!$M$6:$M$305,"YES"),""))</x:f>
      </x:c>
      <x:c r="I52" s="41" t="str">
        <x:f>IF(COUNT(F52:H52)=3,F52-G52-H52,"")</x:f>
      </x:c>
      <x:c r="J52" s="36"/>
      <x:c r="K52" s="36"/>
      <x:c r="L52" s="41" t="str">
        <x:f>IF(COUNT(I52,K52)=2,IF(J52="DEDUCTION",IF(K52&gt;=0,I52-K52,""),IF(J52="BOUND",IF(K52&lt;=I52+Profile!$B$18,K52,""),"")),"")</x:f>
      </x:c>
      <x:c r="M52" s="36"/>
      <x:c r="N52" s="36"/>
      <x:c r="O52" s="41" t="str">
        <x:f>IF(COUNT(L52:N52)=3,IF(AND(M52&gt;=0,N52&gt;=0),MAX(0,L52-M52)-N52,""),"")</x:f>
      </x:c>
      <x:c r="P52" s="41" t="str">
        <x:f>IF(A52="","",IF(AND(COUNTIF($A$6:$A$55,A52)=1,B52&lt;&gt;"",C52&lt;&gt;"",D52&lt;&gt;"",E52="YES",ISNUMBER(L52),AND(ISNUMBER(O52),O52&gt;=0)),"CALCULATED - EA","HOLD: COMPLETE ACCOUNT"))</x:f>
      </x:c>
    </x:row>
    <x:row r="53" ht="23" customHeight="1">
      <x:c r="A53" s="38"/>
      <x:c r="B53" s="36"/>
      <x:c r="C53" s="36"/>
      <x:c r="D53" s="36"/>
      <x:c r="E53" s="36"/>
      <x:c r="F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BL",Components!$M$6:$M$305,"YES"),""))</x:f>
      </x:c>
      <x:c r="G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PJ",Components!$M$6:$M$305,"YES"),""))</x:f>
      </x:c>
      <x:c r="H53" s="41" t="str">
        <x:f>IF(A53="","",IF(AND(COUNTIFS(Components!$B$6:$B$305,"EA",Components!$C$6:$C$305,A53,Components!$D$6:$D$305,"BL",Components!$M$6:$M$305,"YES")&gt;0,COUNTIFS(Components!$B$6:$B$305,"EA",Components!$C$6:$C$305,A53,Components!$D$6:$D$305,"PJ",Components!$M$6:$M$305,"YES")&gt;0,COUNTIFS(Components!$B$6:$B$305,"EA",Components!$C$6:$C$305,A53,Components!$D$6:$D$305,"LK",Components!$M$6:$M$305,"YES")&gt;0,COUNTIFS(Components!$B$6:$B$305,"EA",Components!$C$6:$C$305,A53,Components!$M$6:$M$305,"YES",Components!$N$6:$N$305,"&lt;&gt;COMPLETE")=0),SUMIFS(Components!$I$6:$I$305,Components!$B$6:$B$305,"EA",Components!$C$6:$C$305,A53,Components!$D$6:$D$305,"LK",Components!$M$6:$M$305,"YES"),""))</x:f>
      </x:c>
      <x:c r="I53" s="41" t="str">
        <x:f>IF(COUNT(F53:H53)=3,F53-G53-H53,"")</x:f>
      </x:c>
      <x:c r="J53" s="36"/>
      <x:c r="K53" s="36"/>
      <x:c r="L53" s="41" t="str">
        <x:f>IF(COUNT(I53,K53)=2,IF(J53="DEDUCTION",IF(K53&gt;=0,I53-K53,""),IF(J53="BOUND",IF(K53&lt;=I53+Profile!$B$18,K53,""),"")),"")</x:f>
      </x:c>
      <x:c r="M53" s="36"/>
      <x:c r="N53" s="36"/>
      <x:c r="O53" s="41" t="str">
        <x:f>IF(COUNT(L53:N53)=3,IF(AND(M53&gt;=0,N53&gt;=0),MAX(0,L53-M53)-N53,""),"")</x:f>
      </x:c>
      <x:c r="P53" s="41" t="str">
        <x:f>IF(A53="","",IF(AND(COUNTIF($A$6:$A$55,A53)=1,B53&lt;&gt;"",C53&lt;&gt;"",D53&lt;&gt;"",E53="YES",ISNUMBER(L53),AND(ISNUMBER(O53),O53&gt;=0)),"CALCULATED - EA","HOLD: COMPLETE ACCOUNT"))</x:f>
      </x:c>
    </x:row>
    <x:row r="54" ht="23" customHeight="1">
      <x:c r="A54" s="38"/>
      <x:c r="B54" s="36"/>
      <x:c r="C54" s="36"/>
      <x:c r="D54" s="36"/>
      <x:c r="E54" s="36"/>
      <x:c r="F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BL",Components!$M$6:$M$305,"YES"),""))</x:f>
      </x:c>
      <x:c r="G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PJ",Components!$M$6:$M$305,"YES"),""))</x:f>
      </x:c>
      <x:c r="H54" s="41" t="str">
        <x:f>IF(A54="","",IF(AND(COUNTIFS(Components!$B$6:$B$305,"EA",Components!$C$6:$C$305,A54,Components!$D$6:$D$305,"BL",Components!$M$6:$M$305,"YES")&gt;0,COUNTIFS(Components!$B$6:$B$305,"EA",Components!$C$6:$C$305,A54,Components!$D$6:$D$305,"PJ",Components!$M$6:$M$305,"YES")&gt;0,COUNTIFS(Components!$B$6:$B$305,"EA",Components!$C$6:$C$305,A54,Components!$D$6:$D$305,"LK",Components!$M$6:$M$305,"YES")&gt;0,COUNTIFS(Components!$B$6:$B$305,"EA",Components!$C$6:$C$305,A54,Components!$M$6:$M$305,"YES",Components!$N$6:$N$305,"&lt;&gt;COMPLETE")=0),SUMIFS(Components!$I$6:$I$305,Components!$B$6:$B$305,"EA",Components!$C$6:$C$305,A54,Components!$D$6:$D$305,"LK",Components!$M$6:$M$305,"YES"),""))</x:f>
      </x:c>
      <x:c r="I54" s="41" t="str">
        <x:f>IF(COUNT(F54:H54)=3,F54-G54-H54,"")</x:f>
      </x:c>
      <x:c r="J54" s="36"/>
      <x:c r="K54" s="36"/>
      <x:c r="L54" s="41" t="str">
        <x:f>IF(COUNT(I54,K54)=2,IF(J54="DEDUCTION",IF(K54&gt;=0,I54-K54,""),IF(J54="BOUND",IF(K54&lt;=I54+Profile!$B$18,K54,""),"")),"")</x:f>
      </x:c>
      <x:c r="M54" s="36"/>
      <x:c r="N54" s="36"/>
      <x:c r="O54" s="41" t="str">
        <x:f>IF(COUNT(L54:N54)=3,IF(AND(M54&gt;=0,N54&gt;=0),MAX(0,L54-M54)-N54,""),"")</x:f>
      </x:c>
      <x:c r="P54" s="41" t="str">
        <x:f>IF(A54="","",IF(AND(COUNTIF($A$6:$A$55,A54)=1,B54&lt;&gt;"",C54&lt;&gt;"",D54&lt;&gt;"",E54="YES",ISNUMBER(L54),AND(ISNUMBER(O54),O54&gt;=0)),"CALCULATED - EA","HOLD: COMPLETE ACCOUNT"))</x:f>
      </x:c>
    </x:row>
    <x:row r="55" ht="23" customHeight="1">
      <x:c r="A55" s="38"/>
      <x:c r="B55" s="36"/>
      <x:c r="C55" s="36"/>
      <x:c r="D55" s="36"/>
      <x:c r="E55" s="36"/>
      <x:c r="F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BL",Components!$M$6:$M$305,"YES"),""))</x:f>
      </x:c>
      <x:c r="G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PJ",Components!$M$6:$M$305,"YES"),""))</x:f>
      </x:c>
      <x:c r="H55" s="41" t="str">
        <x:f>IF(A55="","",IF(AND(COUNTIFS(Components!$B$6:$B$305,"EA",Components!$C$6:$C$305,A55,Components!$D$6:$D$305,"BL",Components!$M$6:$M$305,"YES")&gt;0,COUNTIFS(Components!$B$6:$B$305,"EA",Components!$C$6:$C$305,A55,Components!$D$6:$D$305,"PJ",Components!$M$6:$M$305,"YES")&gt;0,COUNTIFS(Components!$B$6:$B$305,"EA",Components!$C$6:$C$305,A55,Components!$D$6:$D$305,"LK",Components!$M$6:$M$305,"YES")&gt;0,COUNTIFS(Components!$B$6:$B$305,"EA",Components!$C$6:$C$305,A55,Components!$M$6:$M$305,"YES",Components!$N$6:$N$305,"&lt;&gt;COMPLETE")=0),SUMIFS(Components!$I$6:$I$305,Components!$B$6:$B$305,"EA",Components!$C$6:$C$305,A55,Components!$D$6:$D$305,"LK",Components!$M$6:$M$305,"YES"),""))</x:f>
      </x:c>
      <x:c r="I55" s="41" t="str">
        <x:f>IF(COUNT(F55:H55)=3,F55-G55-H55,"")</x:f>
      </x:c>
      <x:c r="J55" s="36"/>
      <x:c r="K55" s="36"/>
      <x:c r="L55" s="41" t="str">
        <x:f>IF(COUNT(I55,K55)=2,IF(J55="DEDUCTION",IF(K55&gt;=0,I55-K55,""),IF(J55="BOUND",IF(K55&lt;=I55+Profile!$B$18,K55,""),"")),"")</x:f>
      </x:c>
      <x:c r="M55" s="36"/>
      <x:c r="N55" s="36"/>
      <x:c r="O55" s="41" t="str">
        <x:f>IF(COUNT(L55:N55)=3,IF(AND(M55&gt;=0,N55&gt;=0),MAX(0,L55-M55)-N55,""),"")</x:f>
      </x:c>
      <x:c r="P55" s="41" t="str">
        <x:f>IF(A55="","",IF(AND(COUNTIF($A$6:$A$55,A55)=1,B55&lt;&gt;"",C55&lt;&gt;"",D55&lt;&gt;"",E55="YES",ISNUMBER(L55),AND(ISNUMBER(O55),O55&gt;=0)),"CALCULATED - EA","HOLD: COMPLETE ACCOUNT"))</x:f>
      </x:c>
    </x:row>
  </x:sheetData>
  <x:mergeCells>
    <x:mergeCell ref="A1:P2"/>
    <x:mergeCell ref="A3:P4"/>
  </x:mergeCells>
  <x:conditionalFormatting sqref="P6:P55">
    <x:cfRule type="expression" dxfId="3" priority="1">
      <x:formula>LEFT(P6,4)="HOLD"</x:formula>
    </x:cfRule>
  </x:conditionalFormatting>
  <x:dataValidations count="2">
    <x:dataValidation type="list" sqref="E6:E55">
      <x:formula1>"YES,NO"</x:formula1>
    </x:dataValidation>
    <x:dataValidation type="list" sqref="J6:J55">
      <x:formula1>"DEDUCTION,BOUND"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23" customHeight="1">
      <x:c r="A1" s="21" t="str">
        <x:v>Ex-post reported account</x:v>
      </x:c>
      <x:c r="B1" s="21"/>
      <x:c r="C1" s="21"/>
      <x:c r="D1" s="21"/>
      <x:c r="E1" s="21"/>
      <x:c r="F1" s="21"/>
      <x:c r="G1" s="21"/>
      <x:c r="H1" s="21"/>
      <x:c r="I1" s="21"/>
      <x:c r="J1" s="21"/>
      <x:c r="K1" s="21"/>
      <x:c r="L1" s="21"/>
      <x:c r="M1" s="21"/>
      <x:c r="N1" s="21"/>
      <x:c r="O1" s="21"/>
      <x:c r="P1" s="21"/>
    </x:row>
    <x:row r="2" ht="23" customHeight="1">
      <x:c r="A2" s="21"/>
      <x:c r="B2" s="21"/>
      <x:c r="C2" s="21"/>
      <x:c r="D2" s="21"/>
      <x:c r="E2" s="21"/>
      <x:c r="F2" s="21"/>
      <x:c r="G2" s="21"/>
      <x:c r="H2" s="21"/>
      <x:c r="I2" s="21"/>
      <x:c r="J2" s="21"/>
      <x:c r="K2" s="21"/>
      <x:c r="L2" s="21"/>
      <x:c r="M2" s="21"/>
      <x:c r="N2" s="21"/>
      <x:c r="O2" s="21"/>
      <x:c r="P2" s="21"/>
    </x:row>
    <x:row r="3" ht="23" customHeight="1">
      <x:c r="A3" s="25" t="str">
        <x:v>Each of BL, PJ and LK needs at least one included, evidenced component (including justified zero). Bound/deduction is provided by the applicable uncertainty assessment; it is not inferred here.</x:v>
      </x:c>
      <x:c r="B3" s="25"/>
      <x:c r="C3" s="25"/>
      <x:c r="D3" s="25"/>
      <x:c r="E3" s="25"/>
      <x:c r="F3" s="25"/>
      <x:c r="G3" s="25"/>
      <x:c r="H3" s="25"/>
      <x:c r="I3" s="25"/>
      <x:c r="J3" s="25"/>
      <x:c r="K3" s="25"/>
      <x:c r="L3" s="25"/>
      <x:c r="M3" s="25"/>
      <x:c r="N3" s="25"/>
      <x:c r="O3" s="25"/>
      <x:c r="P3" s="25"/>
    </x:row>
    <x:row r="4" ht="23" customHeight="1">
      <x:c r="A4" s="25"/>
      <x:c r="B4" s="25"/>
      <x:c r="C4" s="25"/>
      <x:c r="D4" s="25"/>
      <x:c r="E4" s="25"/>
      <x:c r="F4" s="25"/>
      <x:c r="G4" s="25"/>
      <x:c r="H4" s="25"/>
      <x:c r="I4" s="25"/>
      <x:c r="J4" s="25"/>
      <x:c r="K4" s="25"/>
      <x:c r="L4" s="25"/>
      <x:c r="M4" s="25"/>
      <x:c r="N4" s="25"/>
      <x:c r="O4" s="25"/>
      <x:c r="P4" s="25"/>
    </x:row>
    <x:row r="5" ht="80" customHeight="1">
      <x:c r="A5" s="29" t="str">
        <x:v>Period key</x:v>
      </x:c>
      <x:c r="B5" s="29" t="str">
        <x:v>Start</x:v>
      </x:c>
      <x:c r="C5" s="29" t="str">
        <x:v>End</x:v>
      </x:c>
      <x:c r="D5" s="29" t="str">
        <x:v>Scope reference</x:v>
      </x:c>
      <x:c r="E5" s="29" t="str">
        <x:v>Coverage confirmed</x:v>
      </x:c>
      <x:c r="F5" s="29" t="str">
        <x:v>Baseline t CO2e
N_BL,t^EP
[t CO2e/period]</x:v>
      </x:c>
      <x:c r="G5" s="29" t="str">
        <x:v>Project t CO2e
N_PJ,t^EP
[t CO2e/period]</x:v>
      </x:c>
      <x:c r="H5" s="29" t="str">
        <x:v>Leakage t CO2e
L_t^EP
[t CO2e/period]</x:v>
      </x:c>
      <x:c r="I5" s="29" t="str">
        <x:v>Net result Q_hat
Q_hat,t^EP
[t CO2e/period]</x:v>
      </x:c>
      <x:c r="J5" s="29" t="str">
        <x:v>Uncertainty route</x:v>
      </x:c>
      <x:c r="K5" s="29" t="str">
        <x:v>Deduction or bound
delta_t OR q_bound,t
[t CO2e/period]</x:v>
      </x:c>
      <x:c r="L5" s="29" t="str">
        <x:v>Conservative Q_low
Q_low,t^EP
[t CO2e/period]</x:v>
      </x:c>
      <x:c r="M5" s="29" t="str">
        <x:v>Report state</x:v>
      </x:c>
      <x:c r="N5" s="29" t="str">
        <x:v>OVV opinion reference</x:v>
      </x:c>
      <x:c r="O5" s="29" t="str">
        <x:v>Uncertainty evidence</x:v>
      </x:c>
      <x:c r="P5" s="29" t="str">
        <x:v>Check</x:v>
      </x:c>
    </x:row>
    <x:row r="6" ht="23" customHeight="1">
      <x:c r="A6" s="38"/>
      <x:c r="B6" s="36"/>
      <x:c r="C6" s="36"/>
      <x:c r="D6" s="36"/>
      <x:c r="E6" s="36"/>
      <x:c r="F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BL",Components!$M$6:$M$305,"YES"),""))</x:f>
      </x:c>
      <x:c r="G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PJ",Components!$M$6:$M$305,"YES"),""))</x:f>
      </x:c>
      <x:c r="H6" s="41" t="str">
        <x:f>IF(A6="","",IF(AND(COUNTIFS(Components!$B$6:$B$305,"EP",Components!$C$6:$C$305,A6,Components!$D$6:$D$305,"BL",Components!$M$6:$M$305,"YES")&gt;0,COUNTIFS(Components!$B$6:$B$305,"EP",Components!$C$6:$C$305,A6,Components!$D$6:$D$305,"PJ",Components!$M$6:$M$305,"YES")&gt;0,COUNTIFS(Components!$B$6:$B$305,"EP",Components!$C$6:$C$305,A6,Components!$D$6:$D$305,"LK",Components!$M$6:$M$305,"YES")&gt;0,COUNTIFS(Components!$B$6:$B$305,"EP",Components!$C$6:$C$305,A6,Components!$M$6:$M$305,"YES",Components!$N$6:$N$305,"&lt;&gt;COMPLETE")=0),SUMIFS(Components!$I$6:$I$305,Components!$B$6:$B$305,"EP",Components!$C$6:$C$305,A6,Components!$D$6:$D$305,"LK",Components!$M$6:$M$305,"YES"),""))</x:f>
      </x:c>
      <x:c r="I6" s="41" t="str">
        <x:f>IF(COUNT(F6:H6)=3,F6-G6-H6,"")</x:f>
      </x:c>
      <x:c r="J6" s="36"/>
      <x:c r="K6" s="36"/>
      <x:c r="L6" s="41" t="str">
        <x:f>IF(COUNT(I6,K6)=2,IF(J6="DEDUCTION",IF(K6&gt;=0,I6-K6,""),IF(J6="BOUND",IF(K6&lt;=I6+Profile!$B$18,K6,""),"")),"")</x:f>
      </x:c>
      <x:c r="M6" s="36"/>
      <x:c r="N6" s="36"/>
      <x:c r="O6" s="36"/>
      <x:c r="P6" s="41" t="str">
        <x:f>IF(A6="","",IF(AND(COUNTIF($A$6:$A$55,A6)=1,B6&lt;&gt;"",C6&lt;&gt;"",D6&lt;&gt;"",E6="YES",ISNUMBER(L6),AND(O6&lt;&gt;"",OR(M6="REPORTED",AND(M6="OVV_ASSESSED",N6&lt;&gt;"")))),"CALCULATED - EP","HOLD: COMPLETE ACCOUNT"))</x:f>
      </x:c>
    </x:row>
    <x:row r="7" ht="23" customHeight="1">
      <x:c r="A7" s="38"/>
      <x:c r="B7" s="36"/>
      <x:c r="C7" s="36"/>
      <x:c r="D7" s="36"/>
      <x:c r="E7" s="36"/>
      <x:c r="F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BL",Components!$M$6:$M$305,"YES"),""))</x:f>
      </x:c>
      <x:c r="G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PJ",Components!$M$6:$M$305,"YES"),""))</x:f>
      </x:c>
      <x:c r="H7" s="41" t="str">
        <x:f>IF(A7="","",IF(AND(COUNTIFS(Components!$B$6:$B$305,"EP",Components!$C$6:$C$305,A7,Components!$D$6:$D$305,"BL",Components!$M$6:$M$305,"YES")&gt;0,COUNTIFS(Components!$B$6:$B$305,"EP",Components!$C$6:$C$305,A7,Components!$D$6:$D$305,"PJ",Components!$M$6:$M$305,"YES")&gt;0,COUNTIFS(Components!$B$6:$B$305,"EP",Components!$C$6:$C$305,A7,Components!$D$6:$D$305,"LK",Components!$M$6:$M$305,"YES")&gt;0,COUNTIFS(Components!$B$6:$B$305,"EP",Components!$C$6:$C$305,A7,Components!$M$6:$M$305,"YES",Components!$N$6:$N$305,"&lt;&gt;COMPLETE")=0),SUMIFS(Components!$I$6:$I$305,Components!$B$6:$B$305,"EP",Components!$C$6:$C$305,A7,Components!$D$6:$D$305,"LK",Components!$M$6:$M$305,"YES"),""))</x:f>
      </x:c>
      <x:c r="I7" s="41" t="str">
        <x:f>IF(COUNT(F7:H7)=3,F7-G7-H7,"")</x:f>
      </x:c>
      <x:c r="J7" s="36"/>
      <x:c r="K7" s="36"/>
      <x:c r="L7" s="41" t="str">
        <x:f>IF(COUNT(I7,K7)=2,IF(J7="DEDUCTION",IF(K7&gt;=0,I7-K7,""),IF(J7="BOUND",IF(K7&lt;=I7+Profile!$B$18,K7,""),"")),"")</x:f>
      </x:c>
      <x:c r="M7" s="36"/>
      <x:c r="N7" s="36"/>
      <x:c r="O7" s="36"/>
      <x:c r="P7" s="41" t="str">
        <x:f>IF(A7="","",IF(AND(COUNTIF($A$6:$A$55,A7)=1,B7&lt;&gt;"",C7&lt;&gt;"",D7&lt;&gt;"",E7="YES",ISNUMBER(L7),AND(O7&lt;&gt;"",OR(M7="REPORTED",AND(M7="OVV_ASSESSED",N7&lt;&gt;"")))),"CALCULATED - EP","HOLD: COMPLETE ACCOUNT"))</x:f>
      </x:c>
    </x:row>
    <x:row r="8" ht="23" customHeight="1">
      <x:c r="A8" s="38"/>
      <x:c r="B8" s="36"/>
      <x:c r="C8" s="36"/>
      <x:c r="D8" s="36"/>
      <x:c r="E8" s="36"/>
      <x:c r="F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BL",Components!$M$6:$M$305,"YES"),""))</x:f>
      </x:c>
      <x:c r="G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PJ",Components!$M$6:$M$305,"YES"),""))</x:f>
      </x:c>
      <x:c r="H8" s="41" t="str">
        <x:f>IF(A8="","",IF(AND(COUNTIFS(Components!$B$6:$B$305,"EP",Components!$C$6:$C$305,A8,Components!$D$6:$D$305,"BL",Components!$M$6:$M$305,"YES")&gt;0,COUNTIFS(Components!$B$6:$B$305,"EP",Components!$C$6:$C$305,A8,Components!$D$6:$D$305,"PJ",Components!$M$6:$M$305,"YES")&gt;0,COUNTIFS(Components!$B$6:$B$305,"EP",Components!$C$6:$C$305,A8,Components!$D$6:$D$305,"LK",Components!$M$6:$M$305,"YES")&gt;0,COUNTIFS(Components!$B$6:$B$305,"EP",Components!$C$6:$C$305,A8,Components!$M$6:$M$305,"YES",Components!$N$6:$N$305,"&lt;&gt;COMPLETE")=0),SUMIFS(Components!$I$6:$I$305,Components!$B$6:$B$305,"EP",Components!$C$6:$C$305,A8,Components!$D$6:$D$305,"LK",Components!$M$6:$M$305,"YES"),""))</x:f>
      </x:c>
      <x:c r="I8" s="41" t="str">
        <x:f>IF(COUNT(F8:H8)=3,F8-G8-H8,"")</x:f>
      </x:c>
      <x:c r="J8" s="36"/>
      <x:c r="K8" s="36"/>
      <x:c r="L8" s="41" t="str">
        <x:f>IF(COUNT(I8,K8)=2,IF(J8="DEDUCTION",IF(K8&gt;=0,I8-K8,""),IF(J8="BOUND",IF(K8&lt;=I8+Profile!$B$18,K8,""),"")),"")</x:f>
      </x:c>
      <x:c r="M8" s="36"/>
      <x:c r="N8" s="36"/>
      <x:c r="O8" s="36"/>
      <x:c r="P8" s="41" t="str">
        <x:f>IF(A8="","",IF(AND(COUNTIF($A$6:$A$55,A8)=1,B8&lt;&gt;"",C8&lt;&gt;"",D8&lt;&gt;"",E8="YES",ISNUMBER(L8),AND(O8&lt;&gt;"",OR(M8="REPORTED",AND(M8="OVV_ASSESSED",N8&lt;&gt;"")))),"CALCULATED - EP","HOLD: COMPLETE ACCOUNT"))</x:f>
      </x:c>
    </x:row>
    <x:row r="9" ht="23" customHeight="1">
      <x:c r="A9" s="38"/>
      <x:c r="B9" s="36"/>
      <x:c r="C9" s="36"/>
      <x:c r="D9" s="36"/>
      <x:c r="E9" s="36"/>
      <x:c r="F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BL",Components!$M$6:$M$305,"YES"),""))</x:f>
      </x:c>
      <x:c r="G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PJ",Components!$M$6:$M$305,"YES"),""))</x:f>
      </x:c>
      <x:c r="H9" s="41" t="str">
        <x:f>IF(A9="","",IF(AND(COUNTIFS(Components!$B$6:$B$305,"EP",Components!$C$6:$C$305,A9,Components!$D$6:$D$305,"BL",Components!$M$6:$M$305,"YES")&gt;0,COUNTIFS(Components!$B$6:$B$305,"EP",Components!$C$6:$C$305,A9,Components!$D$6:$D$305,"PJ",Components!$M$6:$M$305,"YES")&gt;0,COUNTIFS(Components!$B$6:$B$305,"EP",Components!$C$6:$C$305,A9,Components!$D$6:$D$305,"LK",Components!$M$6:$M$305,"YES")&gt;0,COUNTIFS(Components!$B$6:$B$305,"EP",Components!$C$6:$C$305,A9,Components!$M$6:$M$305,"YES",Components!$N$6:$N$305,"&lt;&gt;COMPLETE")=0),SUMIFS(Components!$I$6:$I$305,Components!$B$6:$B$305,"EP",Components!$C$6:$C$305,A9,Components!$D$6:$D$305,"LK",Components!$M$6:$M$305,"YES"),""))</x:f>
      </x:c>
      <x:c r="I9" s="41" t="str">
        <x:f>IF(COUNT(F9:H9)=3,F9-G9-H9,"")</x:f>
      </x:c>
      <x:c r="J9" s="36"/>
      <x:c r="K9" s="36"/>
      <x:c r="L9" s="41" t="str">
        <x:f>IF(COUNT(I9,K9)=2,IF(J9="DEDUCTION",IF(K9&gt;=0,I9-K9,""),IF(J9="BOUND",IF(K9&lt;=I9+Profile!$B$18,K9,""),"")),"")</x:f>
      </x:c>
      <x:c r="M9" s="36"/>
      <x:c r="N9" s="36"/>
      <x:c r="O9" s="36"/>
      <x:c r="P9" s="41" t="str">
        <x:f>IF(A9="","",IF(AND(COUNTIF($A$6:$A$55,A9)=1,B9&lt;&gt;"",C9&lt;&gt;"",D9&lt;&gt;"",E9="YES",ISNUMBER(L9),AND(O9&lt;&gt;"",OR(M9="REPORTED",AND(M9="OVV_ASSESSED",N9&lt;&gt;"")))),"CALCULATED - EP","HOLD: COMPLETE ACCOUNT"))</x:f>
      </x:c>
    </x:row>
    <x:row r="10" ht="23" customHeight="1">
      <x:c r="A10" s="38"/>
      <x:c r="B10" s="36"/>
      <x:c r="C10" s="36"/>
      <x:c r="D10" s="36"/>
      <x:c r="E10" s="36"/>
      <x:c r="F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BL",Components!$M$6:$M$305,"YES"),""))</x:f>
      </x:c>
      <x:c r="G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PJ",Components!$M$6:$M$305,"YES"),""))</x:f>
      </x:c>
      <x:c r="H10" s="41" t="str">
        <x:f>IF(A10="","",IF(AND(COUNTIFS(Components!$B$6:$B$305,"EP",Components!$C$6:$C$305,A10,Components!$D$6:$D$305,"BL",Components!$M$6:$M$305,"YES")&gt;0,COUNTIFS(Components!$B$6:$B$305,"EP",Components!$C$6:$C$305,A10,Components!$D$6:$D$305,"PJ",Components!$M$6:$M$305,"YES")&gt;0,COUNTIFS(Components!$B$6:$B$305,"EP",Components!$C$6:$C$305,A10,Components!$D$6:$D$305,"LK",Components!$M$6:$M$305,"YES")&gt;0,COUNTIFS(Components!$B$6:$B$305,"EP",Components!$C$6:$C$305,A10,Components!$M$6:$M$305,"YES",Components!$N$6:$N$305,"&lt;&gt;COMPLETE")=0),SUMIFS(Components!$I$6:$I$305,Components!$B$6:$B$305,"EP",Components!$C$6:$C$305,A10,Components!$D$6:$D$305,"LK",Components!$M$6:$M$305,"YES"),""))</x:f>
      </x:c>
      <x:c r="I10" s="41" t="str">
        <x:f>IF(COUNT(F10:H10)=3,F10-G10-H10,"")</x:f>
      </x:c>
      <x:c r="J10" s="36"/>
      <x:c r="K10" s="36"/>
      <x:c r="L10" s="41" t="str">
        <x:f>IF(COUNT(I10,K10)=2,IF(J10="DEDUCTION",IF(K10&gt;=0,I10-K10,""),IF(J10="BOUND",IF(K10&lt;=I10+Profile!$B$18,K10,""),"")),"")</x:f>
      </x:c>
      <x:c r="M10" s="36"/>
      <x:c r="N10" s="36"/>
      <x:c r="O10" s="36"/>
      <x:c r="P10" s="41" t="str">
        <x:f>IF(A10="","",IF(AND(COUNTIF($A$6:$A$55,A10)=1,B10&lt;&gt;"",C10&lt;&gt;"",D10&lt;&gt;"",E10="YES",ISNUMBER(L10),AND(O10&lt;&gt;"",OR(M10="REPORTED",AND(M10="OVV_ASSESSED",N10&lt;&gt;"")))),"CALCULATED - EP","HOLD: COMPLETE ACCOUNT"))</x:f>
      </x:c>
    </x:row>
    <x:row r="11" ht="23" customHeight="1">
      <x:c r="A11" s="38"/>
      <x:c r="B11" s="36"/>
      <x:c r="C11" s="36"/>
      <x:c r="D11" s="36"/>
      <x:c r="E11" s="36"/>
      <x:c r="F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BL",Components!$M$6:$M$305,"YES"),""))</x:f>
      </x:c>
      <x:c r="G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PJ",Components!$M$6:$M$305,"YES"),""))</x:f>
      </x:c>
      <x:c r="H11" s="41" t="str">
        <x:f>IF(A11="","",IF(AND(COUNTIFS(Components!$B$6:$B$305,"EP",Components!$C$6:$C$305,A11,Components!$D$6:$D$305,"BL",Components!$M$6:$M$305,"YES")&gt;0,COUNTIFS(Components!$B$6:$B$305,"EP",Components!$C$6:$C$305,A11,Components!$D$6:$D$305,"PJ",Components!$M$6:$M$305,"YES")&gt;0,COUNTIFS(Components!$B$6:$B$305,"EP",Components!$C$6:$C$305,A11,Components!$D$6:$D$305,"LK",Components!$M$6:$M$305,"YES")&gt;0,COUNTIFS(Components!$B$6:$B$305,"EP",Components!$C$6:$C$305,A11,Components!$M$6:$M$305,"YES",Components!$N$6:$N$305,"&lt;&gt;COMPLETE")=0),SUMIFS(Components!$I$6:$I$305,Components!$B$6:$B$305,"EP",Components!$C$6:$C$305,A11,Components!$D$6:$D$305,"LK",Components!$M$6:$M$305,"YES"),""))</x:f>
      </x:c>
      <x:c r="I11" s="41" t="str">
        <x:f>IF(COUNT(F11:H11)=3,F11-G11-H11,"")</x:f>
      </x:c>
      <x:c r="J11" s="36"/>
      <x:c r="K11" s="36"/>
      <x:c r="L11" s="41" t="str">
        <x:f>IF(COUNT(I11,K11)=2,IF(J11="DEDUCTION",IF(K11&gt;=0,I11-K11,""),IF(J11="BOUND",IF(K11&lt;=I11+Profile!$B$18,K11,""),"")),"")</x:f>
      </x:c>
      <x:c r="M11" s="36"/>
      <x:c r="N11" s="36"/>
      <x:c r="O11" s="36"/>
      <x:c r="P11" s="41" t="str">
        <x:f>IF(A11="","",IF(AND(COUNTIF($A$6:$A$55,A11)=1,B11&lt;&gt;"",C11&lt;&gt;"",D11&lt;&gt;"",E11="YES",ISNUMBER(L11),AND(O11&lt;&gt;"",OR(M11="REPORTED",AND(M11="OVV_ASSESSED",N11&lt;&gt;"")))),"CALCULATED - EP","HOLD: COMPLETE ACCOUNT"))</x:f>
      </x:c>
    </x:row>
    <x:row r="12" ht="23" customHeight="1">
      <x:c r="A12" s="38"/>
      <x:c r="B12" s="36"/>
      <x:c r="C12" s="36"/>
      <x:c r="D12" s="36"/>
      <x:c r="E12" s="36"/>
      <x:c r="F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BL",Components!$M$6:$M$305,"YES"),""))</x:f>
      </x:c>
      <x:c r="G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PJ",Components!$M$6:$M$305,"YES"),""))</x:f>
      </x:c>
      <x:c r="H12" s="41" t="str">
        <x:f>IF(A12="","",IF(AND(COUNTIFS(Components!$B$6:$B$305,"EP",Components!$C$6:$C$305,A12,Components!$D$6:$D$305,"BL",Components!$M$6:$M$305,"YES")&gt;0,COUNTIFS(Components!$B$6:$B$305,"EP",Components!$C$6:$C$305,A12,Components!$D$6:$D$305,"PJ",Components!$M$6:$M$305,"YES")&gt;0,COUNTIFS(Components!$B$6:$B$305,"EP",Components!$C$6:$C$305,A12,Components!$D$6:$D$305,"LK",Components!$M$6:$M$305,"YES")&gt;0,COUNTIFS(Components!$B$6:$B$305,"EP",Components!$C$6:$C$305,A12,Components!$M$6:$M$305,"YES",Components!$N$6:$N$305,"&lt;&gt;COMPLETE")=0),SUMIFS(Components!$I$6:$I$305,Components!$B$6:$B$305,"EP",Components!$C$6:$C$305,A12,Components!$D$6:$D$305,"LK",Components!$M$6:$M$305,"YES"),""))</x:f>
      </x:c>
      <x:c r="I12" s="41" t="str">
        <x:f>IF(COUNT(F12:H12)=3,F12-G12-H12,"")</x:f>
      </x:c>
      <x:c r="J12" s="36"/>
      <x:c r="K12" s="36"/>
      <x:c r="L12" s="41" t="str">
        <x:f>IF(COUNT(I12,K12)=2,IF(J12="DEDUCTION",IF(K12&gt;=0,I12-K12,""),IF(J12="BOUND",IF(K12&lt;=I12+Profile!$B$18,K12,""),"")),"")</x:f>
      </x:c>
      <x:c r="M12" s="36"/>
      <x:c r="N12" s="36"/>
      <x:c r="O12" s="36"/>
      <x:c r="P12" s="41" t="str">
        <x:f>IF(A12="","",IF(AND(COUNTIF($A$6:$A$55,A12)=1,B12&lt;&gt;"",C12&lt;&gt;"",D12&lt;&gt;"",E12="YES",ISNUMBER(L12),AND(O12&lt;&gt;"",OR(M12="REPORTED",AND(M12="OVV_ASSESSED",N12&lt;&gt;"")))),"CALCULATED - EP","HOLD: COMPLETE ACCOUNT"))</x:f>
      </x:c>
    </x:row>
    <x:row r="13" ht="23" customHeight="1">
      <x:c r="A13" s="38"/>
      <x:c r="B13" s="36"/>
      <x:c r="C13" s="36"/>
      <x:c r="D13" s="36"/>
      <x:c r="E13" s="36"/>
      <x:c r="F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BL",Components!$M$6:$M$305,"YES"),""))</x:f>
      </x:c>
      <x:c r="G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PJ",Components!$M$6:$M$305,"YES"),""))</x:f>
      </x:c>
      <x:c r="H13" s="41" t="str">
        <x:f>IF(A13="","",IF(AND(COUNTIFS(Components!$B$6:$B$305,"EP",Components!$C$6:$C$305,A13,Components!$D$6:$D$305,"BL",Components!$M$6:$M$305,"YES")&gt;0,COUNTIFS(Components!$B$6:$B$305,"EP",Components!$C$6:$C$305,A13,Components!$D$6:$D$305,"PJ",Components!$M$6:$M$305,"YES")&gt;0,COUNTIFS(Components!$B$6:$B$305,"EP",Components!$C$6:$C$305,A13,Components!$D$6:$D$305,"LK",Components!$M$6:$M$305,"YES")&gt;0,COUNTIFS(Components!$B$6:$B$305,"EP",Components!$C$6:$C$305,A13,Components!$M$6:$M$305,"YES",Components!$N$6:$N$305,"&lt;&gt;COMPLETE")=0),SUMIFS(Components!$I$6:$I$305,Components!$B$6:$B$305,"EP",Components!$C$6:$C$305,A13,Components!$D$6:$D$305,"LK",Components!$M$6:$M$305,"YES"),""))</x:f>
      </x:c>
      <x:c r="I13" s="41" t="str">
        <x:f>IF(COUNT(F13:H13)=3,F13-G13-H13,"")</x:f>
      </x:c>
      <x:c r="J13" s="36"/>
      <x:c r="K13" s="36"/>
      <x:c r="L13" s="41" t="str">
        <x:f>IF(COUNT(I13,K13)=2,IF(J13="DEDUCTION",IF(K13&gt;=0,I13-K13,""),IF(J13="BOUND",IF(K13&lt;=I13+Profile!$B$18,K13,""),"")),"")</x:f>
      </x:c>
      <x:c r="M13" s="36"/>
      <x:c r="N13" s="36"/>
      <x:c r="O13" s="36"/>
      <x:c r="P13" s="41" t="str">
        <x:f>IF(A13="","",IF(AND(COUNTIF($A$6:$A$55,A13)=1,B13&lt;&gt;"",C13&lt;&gt;"",D13&lt;&gt;"",E13="YES",ISNUMBER(L13),AND(O13&lt;&gt;"",OR(M13="REPORTED",AND(M13="OVV_ASSESSED",N13&lt;&gt;"")))),"CALCULATED - EP","HOLD: COMPLETE ACCOUNT"))</x:f>
      </x:c>
    </x:row>
    <x:row r="14" ht="23" customHeight="1">
      <x:c r="A14" s="38"/>
      <x:c r="B14" s="36"/>
      <x:c r="C14" s="36"/>
      <x:c r="D14" s="36"/>
      <x:c r="E14" s="36"/>
      <x:c r="F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BL",Components!$M$6:$M$305,"YES"),""))</x:f>
      </x:c>
      <x:c r="G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PJ",Components!$M$6:$M$305,"YES"),""))</x:f>
      </x:c>
      <x:c r="H14" s="41" t="str">
        <x:f>IF(A14="","",IF(AND(COUNTIFS(Components!$B$6:$B$305,"EP",Components!$C$6:$C$305,A14,Components!$D$6:$D$305,"BL",Components!$M$6:$M$305,"YES")&gt;0,COUNTIFS(Components!$B$6:$B$305,"EP",Components!$C$6:$C$305,A14,Components!$D$6:$D$305,"PJ",Components!$M$6:$M$305,"YES")&gt;0,COUNTIFS(Components!$B$6:$B$305,"EP",Components!$C$6:$C$305,A14,Components!$D$6:$D$305,"LK",Components!$M$6:$M$305,"YES")&gt;0,COUNTIFS(Components!$B$6:$B$305,"EP",Components!$C$6:$C$305,A14,Components!$M$6:$M$305,"YES",Components!$N$6:$N$305,"&lt;&gt;COMPLETE")=0),SUMIFS(Components!$I$6:$I$305,Components!$B$6:$B$305,"EP",Components!$C$6:$C$305,A14,Components!$D$6:$D$305,"LK",Components!$M$6:$M$305,"YES"),""))</x:f>
      </x:c>
      <x:c r="I14" s="41" t="str">
        <x:f>IF(COUNT(F14:H14)=3,F14-G14-H14,"")</x:f>
      </x:c>
      <x:c r="J14" s="36"/>
      <x:c r="K14" s="36"/>
      <x:c r="L14" s="41" t="str">
        <x:f>IF(COUNT(I14,K14)=2,IF(J14="DEDUCTION",IF(K14&gt;=0,I14-K14,""),IF(J14="BOUND",IF(K14&lt;=I14+Profile!$B$18,K14,""),"")),"")</x:f>
      </x:c>
      <x:c r="M14" s="36"/>
      <x:c r="N14" s="36"/>
      <x:c r="O14" s="36"/>
      <x:c r="P14" s="41" t="str">
        <x:f>IF(A14="","",IF(AND(COUNTIF($A$6:$A$55,A14)=1,B14&lt;&gt;"",C14&lt;&gt;"",D14&lt;&gt;"",E14="YES",ISNUMBER(L14),AND(O14&lt;&gt;"",OR(M14="REPORTED",AND(M14="OVV_ASSESSED",N14&lt;&gt;"")))),"CALCULATED - EP","HOLD: COMPLETE ACCOUNT"))</x:f>
      </x:c>
    </x:row>
    <x:row r="15" ht="23" customHeight="1">
      <x:c r="A15" s="38"/>
      <x:c r="B15" s="36"/>
      <x:c r="C15" s="36"/>
      <x:c r="D15" s="36"/>
      <x:c r="E15" s="36"/>
      <x:c r="F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BL",Components!$M$6:$M$305,"YES"),""))</x:f>
      </x:c>
      <x:c r="G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PJ",Components!$M$6:$M$305,"YES"),""))</x:f>
      </x:c>
      <x:c r="H15" s="41" t="str">
        <x:f>IF(A15="","",IF(AND(COUNTIFS(Components!$B$6:$B$305,"EP",Components!$C$6:$C$305,A15,Components!$D$6:$D$305,"BL",Components!$M$6:$M$305,"YES")&gt;0,COUNTIFS(Components!$B$6:$B$305,"EP",Components!$C$6:$C$305,A15,Components!$D$6:$D$305,"PJ",Components!$M$6:$M$305,"YES")&gt;0,COUNTIFS(Components!$B$6:$B$305,"EP",Components!$C$6:$C$305,A15,Components!$D$6:$D$305,"LK",Components!$M$6:$M$305,"YES")&gt;0,COUNTIFS(Components!$B$6:$B$305,"EP",Components!$C$6:$C$305,A15,Components!$M$6:$M$305,"YES",Components!$N$6:$N$305,"&lt;&gt;COMPLETE")=0),SUMIFS(Components!$I$6:$I$305,Components!$B$6:$B$305,"EP",Components!$C$6:$C$305,A15,Components!$D$6:$D$305,"LK",Components!$M$6:$M$305,"YES"),""))</x:f>
      </x:c>
      <x:c r="I15" s="41" t="str">
        <x:f>IF(COUNT(F15:H15)=3,F15-G15-H15,"")</x:f>
      </x:c>
      <x:c r="J15" s="36"/>
      <x:c r="K15" s="36"/>
      <x:c r="L15" s="41" t="str">
        <x:f>IF(COUNT(I15,K15)=2,IF(J15="DEDUCTION",IF(K15&gt;=0,I15-K15,""),IF(J15="BOUND",IF(K15&lt;=I15+Profile!$B$18,K15,""),"")),"")</x:f>
      </x:c>
      <x:c r="M15" s="36"/>
      <x:c r="N15" s="36"/>
      <x:c r="O15" s="36"/>
      <x:c r="P15" s="41" t="str">
        <x:f>IF(A15="","",IF(AND(COUNTIF($A$6:$A$55,A15)=1,B15&lt;&gt;"",C15&lt;&gt;"",D15&lt;&gt;"",E15="YES",ISNUMBER(L15),AND(O15&lt;&gt;"",OR(M15="REPORTED",AND(M15="OVV_ASSESSED",N15&lt;&gt;"")))),"CALCULATED - EP","HOLD: COMPLETE ACCOUNT"))</x:f>
      </x:c>
    </x:row>
    <x:row r="16" ht="23" customHeight="1">
      <x:c r="A16" s="38"/>
      <x:c r="B16" s="36"/>
      <x:c r="C16" s="36"/>
      <x:c r="D16" s="36"/>
      <x:c r="E16" s="36"/>
      <x:c r="F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BL",Components!$M$6:$M$305,"YES"),""))</x:f>
      </x:c>
      <x:c r="G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PJ",Components!$M$6:$M$305,"YES"),""))</x:f>
      </x:c>
      <x:c r="H16" s="41" t="str">
        <x:f>IF(A16="","",IF(AND(COUNTIFS(Components!$B$6:$B$305,"EP",Components!$C$6:$C$305,A16,Components!$D$6:$D$305,"BL",Components!$M$6:$M$305,"YES")&gt;0,COUNTIFS(Components!$B$6:$B$305,"EP",Components!$C$6:$C$305,A16,Components!$D$6:$D$305,"PJ",Components!$M$6:$M$305,"YES")&gt;0,COUNTIFS(Components!$B$6:$B$305,"EP",Components!$C$6:$C$305,A16,Components!$D$6:$D$305,"LK",Components!$M$6:$M$305,"YES")&gt;0,COUNTIFS(Components!$B$6:$B$305,"EP",Components!$C$6:$C$305,A16,Components!$M$6:$M$305,"YES",Components!$N$6:$N$305,"&lt;&gt;COMPLETE")=0),SUMIFS(Components!$I$6:$I$305,Components!$B$6:$B$305,"EP",Components!$C$6:$C$305,A16,Components!$D$6:$D$305,"LK",Components!$M$6:$M$305,"YES"),""))</x:f>
      </x:c>
      <x:c r="I16" s="41" t="str">
        <x:f>IF(COUNT(F16:H16)=3,F16-G16-H16,"")</x:f>
      </x:c>
      <x:c r="J16" s="36"/>
      <x:c r="K16" s="36"/>
      <x:c r="L16" s="41" t="str">
        <x:f>IF(COUNT(I16,K16)=2,IF(J16="DEDUCTION",IF(K16&gt;=0,I16-K16,""),IF(J16="BOUND",IF(K16&lt;=I16+Profile!$B$18,K16,""),"")),"")</x:f>
      </x:c>
      <x:c r="M16" s="36"/>
      <x:c r="N16" s="36"/>
      <x:c r="O16" s="36"/>
      <x:c r="P16" s="41" t="str">
        <x:f>IF(A16="","",IF(AND(COUNTIF($A$6:$A$55,A16)=1,B16&lt;&gt;"",C16&lt;&gt;"",D16&lt;&gt;"",E16="YES",ISNUMBER(L16),AND(O16&lt;&gt;"",OR(M16="REPORTED",AND(M16="OVV_ASSESSED",N16&lt;&gt;"")))),"CALCULATED - EP","HOLD: COMPLETE ACCOUNT"))</x:f>
      </x:c>
    </x:row>
    <x:row r="17" ht="23" customHeight="1">
      <x:c r="A17" s="38"/>
      <x:c r="B17" s="36"/>
      <x:c r="C17" s="36"/>
      <x:c r="D17" s="36"/>
      <x:c r="E17" s="36"/>
      <x:c r="F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BL",Components!$M$6:$M$305,"YES"),""))</x:f>
      </x:c>
      <x:c r="G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PJ",Components!$M$6:$M$305,"YES"),""))</x:f>
      </x:c>
      <x:c r="H17" s="41" t="str">
        <x:f>IF(A17="","",IF(AND(COUNTIFS(Components!$B$6:$B$305,"EP",Components!$C$6:$C$305,A17,Components!$D$6:$D$305,"BL",Components!$M$6:$M$305,"YES")&gt;0,COUNTIFS(Components!$B$6:$B$305,"EP",Components!$C$6:$C$305,A17,Components!$D$6:$D$305,"PJ",Components!$M$6:$M$305,"YES")&gt;0,COUNTIFS(Components!$B$6:$B$305,"EP",Components!$C$6:$C$305,A17,Components!$D$6:$D$305,"LK",Components!$M$6:$M$305,"YES")&gt;0,COUNTIFS(Components!$B$6:$B$305,"EP",Components!$C$6:$C$305,A17,Components!$M$6:$M$305,"YES",Components!$N$6:$N$305,"&lt;&gt;COMPLETE")=0),SUMIFS(Components!$I$6:$I$305,Components!$B$6:$B$305,"EP",Components!$C$6:$C$305,A17,Components!$D$6:$D$305,"LK",Components!$M$6:$M$305,"YES"),""))</x:f>
      </x:c>
      <x:c r="I17" s="41" t="str">
        <x:f>IF(COUNT(F17:H17)=3,F17-G17-H17,"")</x:f>
      </x:c>
      <x:c r="J17" s="36"/>
      <x:c r="K17" s="36"/>
      <x:c r="L17" s="41" t="str">
        <x:f>IF(COUNT(I17,K17)=2,IF(J17="DEDUCTION",IF(K17&gt;=0,I17-K17,""),IF(J17="BOUND",IF(K17&lt;=I17+Profile!$B$18,K17,""),"")),"")</x:f>
      </x:c>
      <x:c r="M17" s="36"/>
      <x:c r="N17" s="36"/>
      <x:c r="O17" s="36"/>
      <x:c r="P17" s="41" t="str">
        <x:f>IF(A17="","",IF(AND(COUNTIF($A$6:$A$55,A17)=1,B17&lt;&gt;"",C17&lt;&gt;"",D17&lt;&gt;"",E17="YES",ISNUMBER(L17),AND(O17&lt;&gt;"",OR(M17="REPORTED",AND(M17="OVV_ASSESSED",N17&lt;&gt;"")))),"CALCULATED - EP","HOLD: COMPLETE ACCOUNT"))</x:f>
      </x:c>
    </x:row>
    <x:row r="18" ht="23" customHeight="1">
      <x:c r="A18" s="38"/>
      <x:c r="B18" s="36"/>
      <x:c r="C18" s="36"/>
      <x:c r="D18" s="36"/>
      <x:c r="E18" s="36"/>
      <x:c r="F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BL",Components!$M$6:$M$305,"YES"),""))</x:f>
      </x:c>
      <x:c r="G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PJ",Components!$M$6:$M$305,"YES"),""))</x:f>
      </x:c>
      <x:c r="H18" s="41" t="str">
        <x:f>IF(A18="","",IF(AND(COUNTIFS(Components!$B$6:$B$305,"EP",Components!$C$6:$C$305,A18,Components!$D$6:$D$305,"BL",Components!$M$6:$M$305,"YES")&gt;0,COUNTIFS(Components!$B$6:$B$305,"EP",Components!$C$6:$C$305,A18,Components!$D$6:$D$305,"PJ",Components!$M$6:$M$305,"YES")&gt;0,COUNTIFS(Components!$B$6:$B$305,"EP",Components!$C$6:$C$305,A18,Components!$D$6:$D$305,"LK",Components!$M$6:$M$305,"YES")&gt;0,COUNTIFS(Components!$B$6:$B$305,"EP",Components!$C$6:$C$305,A18,Components!$M$6:$M$305,"YES",Components!$N$6:$N$305,"&lt;&gt;COMPLETE")=0),SUMIFS(Components!$I$6:$I$305,Components!$B$6:$B$305,"EP",Components!$C$6:$C$305,A18,Components!$D$6:$D$305,"LK",Components!$M$6:$M$305,"YES"),""))</x:f>
      </x:c>
      <x:c r="I18" s="41" t="str">
        <x:f>IF(COUNT(F18:H18)=3,F18-G18-H18,"")</x:f>
      </x:c>
      <x:c r="J18" s="36"/>
      <x:c r="K18" s="36"/>
      <x:c r="L18" s="41" t="str">
        <x:f>IF(COUNT(I18,K18)=2,IF(J18="DEDUCTION",IF(K18&gt;=0,I18-K18,""),IF(J18="BOUND",IF(K18&lt;=I18+Profile!$B$18,K18,""),"")),"")</x:f>
      </x:c>
      <x:c r="M18" s="36"/>
      <x:c r="N18" s="36"/>
      <x:c r="O18" s="36"/>
      <x:c r="P18" s="41" t="str">
        <x:f>IF(A18="","",IF(AND(COUNTIF($A$6:$A$55,A18)=1,B18&lt;&gt;"",C18&lt;&gt;"",D18&lt;&gt;"",E18="YES",ISNUMBER(L18),AND(O18&lt;&gt;"",OR(M18="REPORTED",AND(M18="OVV_ASSESSED",N18&lt;&gt;"")))),"CALCULATED - EP","HOLD: COMPLETE ACCOUNT"))</x:f>
      </x:c>
    </x:row>
    <x:row r="19" ht="23" customHeight="1">
      <x:c r="A19" s="38"/>
      <x:c r="B19" s="36"/>
      <x:c r="C19" s="36"/>
      <x:c r="D19" s="36"/>
      <x:c r="E19" s="36"/>
      <x:c r="F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BL",Components!$M$6:$M$305,"YES"),""))</x:f>
      </x:c>
      <x:c r="G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PJ",Components!$M$6:$M$305,"YES"),""))</x:f>
      </x:c>
      <x:c r="H19" s="41" t="str">
        <x:f>IF(A19="","",IF(AND(COUNTIFS(Components!$B$6:$B$305,"EP",Components!$C$6:$C$305,A19,Components!$D$6:$D$305,"BL",Components!$M$6:$M$305,"YES")&gt;0,COUNTIFS(Components!$B$6:$B$305,"EP",Components!$C$6:$C$305,A19,Components!$D$6:$D$305,"PJ",Components!$M$6:$M$305,"YES")&gt;0,COUNTIFS(Components!$B$6:$B$305,"EP",Components!$C$6:$C$305,A19,Components!$D$6:$D$305,"LK",Components!$M$6:$M$305,"YES")&gt;0,COUNTIFS(Components!$B$6:$B$305,"EP",Components!$C$6:$C$305,A19,Components!$M$6:$M$305,"YES",Components!$N$6:$N$305,"&lt;&gt;COMPLETE")=0),SUMIFS(Components!$I$6:$I$305,Components!$B$6:$B$305,"EP",Components!$C$6:$C$305,A19,Components!$D$6:$D$305,"LK",Components!$M$6:$M$305,"YES"),""))</x:f>
      </x:c>
      <x:c r="I19" s="41" t="str">
        <x:f>IF(COUNT(F19:H19)=3,F19-G19-H19,"")</x:f>
      </x:c>
      <x:c r="J19" s="36"/>
      <x:c r="K19" s="36"/>
      <x:c r="L19" s="41" t="str">
        <x:f>IF(COUNT(I19,K19)=2,IF(J19="DEDUCTION",IF(K19&gt;=0,I19-K19,""),IF(J19="BOUND",IF(K19&lt;=I19+Profile!$B$18,K19,""),"")),"")</x:f>
      </x:c>
      <x:c r="M19" s="36"/>
      <x:c r="N19" s="36"/>
      <x:c r="O19" s="36"/>
      <x:c r="P19" s="41" t="str">
        <x:f>IF(A19="","",IF(AND(COUNTIF($A$6:$A$55,A19)=1,B19&lt;&gt;"",C19&lt;&gt;"",D19&lt;&gt;"",E19="YES",ISNUMBER(L19),AND(O19&lt;&gt;"",OR(M19="REPORTED",AND(M19="OVV_ASSESSED",N19&lt;&gt;"")))),"CALCULATED - EP","HOLD: COMPLETE ACCOUNT"))</x:f>
      </x:c>
    </x:row>
    <x:row r="20" ht="23" customHeight="1">
      <x:c r="A20" s="38"/>
      <x:c r="B20" s="36"/>
      <x:c r="C20" s="36"/>
      <x:c r="D20" s="36"/>
      <x:c r="E20" s="36"/>
      <x:c r="F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BL",Components!$M$6:$M$305,"YES"),""))</x:f>
      </x:c>
      <x:c r="G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PJ",Components!$M$6:$M$305,"YES"),""))</x:f>
      </x:c>
      <x:c r="H20" s="41" t="str">
        <x:f>IF(A20="","",IF(AND(COUNTIFS(Components!$B$6:$B$305,"EP",Components!$C$6:$C$305,A20,Components!$D$6:$D$305,"BL",Components!$M$6:$M$305,"YES")&gt;0,COUNTIFS(Components!$B$6:$B$305,"EP",Components!$C$6:$C$305,A20,Components!$D$6:$D$305,"PJ",Components!$M$6:$M$305,"YES")&gt;0,COUNTIFS(Components!$B$6:$B$305,"EP",Components!$C$6:$C$305,A20,Components!$D$6:$D$305,"LK",Components!$M$6:$M$305,"YES")&gt;0,COUNTIFS(Components!$B$6:$B$305,"EP",Components!$C$6:$C$305,A20,Components!$M$6:$M$305,"YES",Components!$N$6:$N$305,"&lt;&gt;COMPLETE")=0),SUMIFS(Components!$I$6:$I$305,Components!$B$6:$B$305,"EP",Components!$C$6:$C$305,A20,Components!$D$6:$D$305,"LK",Components!$M$6:$M$305,"YES"),""))</x:f>
      </x:c>
      <x:c r="I20" s="41" t="str">
        <x:f>IF(COUNT(F20:H20)=3,F20-G20-H20,"")</x:f>
      </x:c>
      <x:c r="J20" s="36"/>
      <x:c r="K20" s="36"/>
      <x:c r="L20" s="41" t="str">
        <x:f>IF(COUNT(I20,K20)=2,IF(J20="DEDUCTION",IF(K20&gt;=0,I20-K20,""),IF(J20="BOUND",IF(K20&lt;=I20+Profile!$B$18,K20,""),"")),"")</x:f>
      </x:c>
      <x:c r="M20" s="36"/>
      <x:c r="N20" s="36"/>
      <x:c r="O20" s="36"/>
      <x:c r="P20" s="41" t="str">
        <x:f>IF(A20="","",IF(AND(COUNTIF($A$6:$A$55,A20)=1,B20&lt;&gt;"",C20&lt;&gt;"",D20&lt;&gt;"",E20="YES",ISNUMBER(L20),AND(O20&lt;&gt;"",OR(M20="REPORTED",AND(M20="OVV_ASSESSED",N20&lt;&gt;"")))),"CALCULATED - EP","HOLD: COMPLETE ACCOUNT"))</x:f>
      </x:c>
    </x:row>
    <x:row r="21" ht="23" customHeight="1">
      <x:c r="A21" s="38"/>
      <x:c r="B21" s="36"/>
      <x:c r="C21" s="36"/>
      <x:c r="D21" s="36"/>
      <x:c r="E21" s="36"/>
      <x:c r="F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BL",Components!$M$6:$M$305,"YES"),""))</x:f>
      </x:c>
      <x:c r="G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PJ",Components!$M$6:$M$305,"YES"),""))</x:f>
      </x:c>
      <x:c r="H21" s="41" t="str">
        <x:f>IF(A21="","",IF(AND(COUNTIFS(Components!$B$6:$B$305,"EP",Components!$C$6:$C$305,A21,Components!$D$6:$D$305,"BL",Components!$M$6:$M$305,"YES")&gt;0,COUNTIFS(Components!$B$6:$B$305,"EP",Components!$C$6:$C$305,A21,Components!$D$6:$D$305,"PJ",Components!$M$6:$M$305,"YES")&gt;0,COUNTIFS(Components!$B$6:$B$305,"EP",Components!$C$6:$C$305,A21,Components!$D$6:$D$305,"LK",Components!$M$6:$M$305,"YES")&gt;0,COUNTIFS(Components!$B$6:$B$305,"EP",Components!$C$6:$C$305,A21,Components!$M$6:$M$305,"YES",Components!$N$6:$N$305,"&lt;&gt;COMPLETE")=0),SUMIFS(Components!$I$6:$I$305,Components!$B$6:$B$305,"EP",Components!$C$6:$C$305,A21,Components!$D$6:$D$305,"LK",Components!$M$6:$M$305,"YES"),""))</x:f>
      </x:c>
      <x:c r="I21" s="41" t="str">
        <x:f>IF(COUNT(F21:H21)=3,F21-G21-H21,"")</x:f>
      </x:c>
      <x:c r="J21" s="36"/>
      <x:c r="K21" s="36"/>
      <x:c r="L21" s="41" t="str">
        <x:f>IF(COUNT(I21,K21)=2,IF(J21="DEDUCTION",IF(K21&gt;=0,I21-K21,""),IF(J21="BOUND",IF(K21&lt;=I21+Profile!$B$18,K21,""),"")),"")</x:f>
      </x:c>
      <x:c r="M21" s="36"/>
      <x:c r="N21" s="36"/>
      <x:c r="O21" s="36"/>
      <x:c r="P21" s="41" t="str">
        <x:f>IF(A21="","",IF(AND(COUNTIF($A$6:$A$55,A21)=1,B21&lt;&gt;"",C21&lt;&gt;"",D21&lt;&gt;"",E21="YES",ISNUMBER(L21),AND(O21&lt;&gt;"",OR(M21="REPORTED",AND(M21="OVV_ASSESSED",N21&lt;&gt;"")))),"CALCULATED - EP","HOLD: COMPLETE ACCOUNT"))</x:f>
      </x:c>
    </x:row>
    <x:row r="22" ht="23" customHeight="1">
      <x:c r="A22" s="38"/>
      <x:c r="B22" s="36"/>
      <x:c r="C22" s="36"/>
      <x:c r="D22" s="36"/>
      <x:c r="E22" s="36"/>
      <x:c r="F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BL",Components!$M$6:$M$305,"YES"),""))</x:f>
      </x:c>
      <x:c r="G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PJ",Components!$M$6:$M$305,"YES"),""))</x:f>
      </x:c>
      <x:c r="H22" s="41" t="str">
        <x:f>IF(A22="","",IF(AND(COUNTIFS(Components!$B$6:$B$305,"EP",Components!$C$6:$C$305,A22,Components!$D$6:$D$305,"BL",Components!$M$6:$M$305,"YES")&gt;0,COUNTIFS(Components!$B$6:$B$305,"EP",Components!$C$6:$C$305,A22,Components!$D$6:$D$305,"PJ",Components!$M$6:$M$305,"YES")&gt;0,COUNTIFS(Components!$B$6:$B$305,"EP",Components!$C$6:$C$305,A22,Components!$D$6:$D$305,"LK",Components!$M$6:$M$305,"YES")&gt;0,COUNTIFS(Components!$B$6:$B$305,"EP",Components!$C$6:$C$305,A22,Components!$M$6:$M$305,"YES",Components!$N$6:$N$305,"&lt;&gt;COMPLETE")=0),SUMIFS(Components!$I$6:$I$305,Components!$B$6:$B$305,"EP",Components!$C$6:$C$305,A22,Components!$D$6:$D$305,"LK",Components!$M$6:$M$305,"YES"),""))</x:f>
      </x:c>
      <x:c r="I22" s="41" t="str">
        <x:f>IF(COUNT(F22:H22)=3,F22-G22-H22,"")</x:f>
      </x:c>
      <x:c r="J22" s="36"/>
      <x:c r="K22" s="36"/>
      <x:c r="L22" s="41" t="str">
        <x:f>IF(COUNT(I22,K22)=2,IF(J22="DEDUCTION",IF(K22&gt;=0,I22-K22,""),IF(J22="BOUND",IF(K22&lt;=I22+Profile!$B$18,K22,""),"")),"")</x:f>
      </x:c>
      <x:c r="M22" s="36"/>
      <x:c r="N22" s="36"/>
      <x:c r="O22" s="36"/>
      <x:c r="P22" s="41" t="str">
        <x:f>IF(A22="","",IF(AND(COUNTIF($A$6:$A$55,A22)=1,B22&lt;&gt;"",C22&lt;&gt;"",D22&lt;&gt;"",E22="YES",ISNUMBER(L22),AND(O22&lt;&gt;"",OR(M22="REPORTED",AND(M22="OVV_ASSESSED",N22&lt;&gt;"")))),"CALCULATED - EP","HOLD: COMPLETE ACCOUNT"))</x:f>
      </x:c>
    </x:row>
    <x:row r="23" ht="23" customHeight="1">
      <x:c r="A23" s="38"/>
      <x:c r="B23" s="36"/>
      <x:c r="C23" s="36"/>
      <x:c r="D23" s="36"/>
      <x:c r="E23" s="36"/>
      <x:c r="F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BL",Components!$M$6:$M$305,"YES"),""))</x:f>
      </x:c>
      <x:c r="G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PJ",Components!$M$6:$M$305,"YES"),""))</x:f>
      </x:c>
      <x:c r="H23" s="41" t="str">
        <x:f>IF(A23="","",IF(AND(COUNTIFS(Components!$B$6:$B$305,"EP",Components!$C$6:$C$305,A23,Components!$D$6:$D$305,"BL",Components!$M$6:$M$305,"YES")&gt;0,COUNTIFS(Components!$B$6:$B$305,"EP",Components!$C$6:$C$305,A23,Components!$D$6:$D$305,"PJ",Components!$M$6:$M$305,"YES")&gt;0,COUNTIFS(Components!$B$6:$B$305,"EP",Components!$C$6:$C$305,A23,Components!$D$6:$D$305,"LK",Components!$M$6:$M$305,"YES")&gt;0,COUNTIFS(Components!$B$6:$B$305,"EP",Components!$C$6:$C$305,A23,Components!$M$6:$M$305,"YES",Components!$N$6:$N$305,"&lt;&gt;COMPLETE")=0),SUMIFS(Components!$I$6:$I$305,Components!$B$6:$B$305,"EP",Components!$C$6:$C$305,A23,Components!$D$6:$D$305,"LK",Components!$M$6:$M$305,"YES"),""))</x:f>
      </x:c>
      <x:c r="I23" s="41" t="str">
        <x:f>IF(COUNT(F23:H23)=3,F23-G23-H23,"")</x:f>
      </x:c>
      <x:c r="J23" s="36"/>
      <x:c r="K23" s="36"/>
      <x:c r="L23" s="41" t="str">
        <x:f>IF(COUNT(I23,K23)=2,IF(J23="DEDUCTION",IF(K23&gt;=0,I23-K23,""),IF(J23="BOUND",IF(K23&lt;=I23+Profile!$B$18,K23,""),"")),"")</x:f>
      </x:c>
      <x:c r="M23" s="36"/>
      <x:c r="N23" s="36"/>
      <x:c r="O23" s="36"/>
      <x:c r="P23" s="41" t="str">
        <x:f>IF(A23="","",IF(AND(COUNTIF($A$6:$A$55,A23)=1,B23&lt;&gt;"",C23&lt;&gt;"",D23&lt;&gt;"",E23="YES",ISNUMBER(L23),AND(O23&lt;&gt;"",OR(M23="REPORTED",AND(M23="OVV_ASSESSED",N23&lt;&gt;"")))),"CALCULATED - EP","HOLD: COMPLETE ACCOUNT"))</x:f>
      </x:c>
    </x:row>
    <x:row r="24" ht="23" customHeight="1">
      <x:c r="A24" s="38"/>
      <x:c r="B24" s="36"/>
      <x:c r="C24" s="36"/>
      <x:c r="D24" s="36"/>
      <x:c r="E24" s="36"/>
      <x:c r="F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BL",Components!$M$6:$M$305,"YES"),""))</x:f>
      </x:c>
      <x:c r="G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PJ",Components!$M$6:$M$305,"YES"),""))</x:f>
      </x:c>
      <x:c r="H24" s="41" t="str">
        <x:f>IF(A24="","",IF(AND(COUNTIFS(Components!$B$6:$B$305,"EP",Components!$C$6:$C$305,A24,Components!$D$6:$D$305,"BL",Components!$M$6:$M$305,"YES")&gt;0,COUNTIFS(Components!$B$6:$B$305,"EP",Components!$C$6:$C$305,A24,Components!$D$6:$D$305,"PJ",Components!$M$6:$M$305,"YES")&gt;0,COUNTIFS(Components!$B$6:$B$305,"EP",Components!$C$6:$C$305,A24,Components!$D$6:$D$305,"LK",Components!$M$6:$M$305,"YES")&gt;0,COUNTIFS(Components!$B$6:$B$305,"EP",Components!$C$6:$C$305,A24,Components!$M$6:$M$305,"YES",Components!$N$6:$N$305,"&lt;&gt;COMPLETE")=0),SUMIFS(Components!$I$6:$I$305,Components!$B$6:$B$305,"EP",Components!$C$6:$C$305,A24,Components!$D$6:$D$305,"LK",Components!$M$6:$M$305,"YES"),""))</x:f>
      </x:c>
      <x:c r="I24" s="41" t="str">
        <x:f>IF(COUNT(F24:H24)=3,F24-G24-H24,"")</x:f>
      </x:c>
      <x:c r="J24" s="36"/>
      <x:c r="K24" s="36"/>
      <x:c r="L24" s="41" t="str">
        <x:f>IF(COUNT(I24,K24)=2,IF(J24="DEDUCTION",IF(K24&gt;=0,I24-K24,""),IF(J24="BOUND",IF(K24&lt;=I24+Profile!$B$18,K24,""),"")),"")</x:f>
      </x:c>
      <x:c r="M24" s="36"/>
      <x:c r="N24" s="36"/>
      <x:c r="O24" s="36"/>
      <x:c r="P24" s="41" t="str">
        <x:f>IF(A24="","",IF(AND(COUNTIF($A$6:$A$55,A24)=1,B24&lt;&gt;"",C24&lt;&gt;"",D24&lt;&gt;"",E24="YES",ISNUMBER(L24),AND(O24&lt;&gt;"",OR(M24="REPORTED",AND(M24="OVV_ASSESSED",N24&lt;&gt;"")))),"CALCULATED - EP","HOLD: COMPLETE ACCOUNT"))</x:f>
      </x:c>
    </x:row>
    <x:row r="25" ht="23" customHeight="1">
      <x:c r="A25" s="38"/>
      <x:c r="B25" s="36"/>
      <x:c r="C25" s="36"/>
      <x:c r="D25" s="36"/>
      <x:c r="E25" s="36"/>
      <x:c r="F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BL",Components!$M$6:$M$305,"YES"),""))</x:f>
      </x:c>
      <x:c r="G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PJ",Components!$M$6:$M$305,"YES"),""))</x:f>
      </x:c>
      <x:c r="H25" s="41" t="str">
        <x:f>IF(A25="","",IF(AND(COUNTIFS(Components!$B$6:$B$305,"EP",Components!$C$6:$C$305,A25,Components!$D$6:$D$305,"BL",Components!$M$6:$M$305,"YES")&gt;0,COUNTIFS(Components!$B$6:$B$305,"EP",Components!$C$6:$C$305,A25,Components!$D$6:$D$305,"PJ",Components!$M$6:$M$305,"YES")&gt;0,COUNTIFS(Components!$B$6:$B$305,"EP",Components!$C$6:$C$305,A25,Components!$D$6:$D$305,"LK",Components!$M$6:$M$305,"YES")&gt;0,COUNTIFS(Components!$B$6:$B$305,"EP",Components!$C$6:$C$305,A25,Components!$M$6:$M$305,"YES",Components!$N$6:$N$305,"&lt;&gt;COMPLETE")=0),SUMIFS(Components!$I$6:$I$305,Components!$B$6:$B$305,"EP",Components!$C$6:$C$305,A25,Components!$D$6:$D$305,"LK",Components!$M$6:$M$305,"YES"),""))</x:f>
      </x:c>
      <x:c r="I25" s="41" t="str">
        <x:f>IF(COUNT(F25:H25)=3,F25-G25-H25,"")</x:f>
      </x:c>
      <x:c r="J25" s="36"/>
      <x:c r="K25" s="36"/>
      <x:c r="L25" s="41" t="str">
        <x:f>IF(COUNT(I25,K25)=2,IF(J25="DEDUCTION",IF(K25&gt;=0,I25-K25,""),IF(J25="BOUND",IF(K25&lt;=I25+Profile!$B$18,K25,""),"")),"")</x:f>
      </x:c>
      <x:c r="M25" s="36"/>
      <x:c r="N25" s="36"/>
      <x:c r="O25" s="36"/>
      <x:c r="P25" s="41" t="str">
        <x:f>IF(A25="","",IF(AND(COUNTIF($A$6:$A$55,A25)=1,B25&lt;&gt;"",C25&lt;&gt;"",D25&lt;&gt;"",E25="YES",ISNUMBER(L25),AND(O25&lt;&gt;"",OR(M25="REPORTED",AND(M25="OVV_ASSESSED",N25&lt;&gt;"")))),"CALCULATED - EP","HOLD: COMPLETE ACCOUNT"))</x:f>
      </x:c>
    </x:row>
    <x:row r="26" ht="23" customHeight="1">
      <x:c r="A26" s="38"/>
      <x:c r="B26" s="36"/>
      <x:c r="C26" s="36"/>
      <x:c r="D26" s="36"/>
      <x:c r="E26" s="36"/>
      <x:c r="F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BL",Components!$M$6:$M$305,"YES"),""))</x:f>
      </x:c>
      <x:c r="G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PJ",Components!$M$6:$M$305,"YES"),""))</x:f>
      </x:c>
      <x:c r="H26" s="41" t="str">
        <x:f>IF(A26="","",IF(AND(COUNTIFS(Components!$B$6:$B$305,"EP",Components!$C$6:$C$305,A26,Components!$D$6:$D$305,"BL",Components!$M$6:$M$305,"YES")&gt;0,COUNTIFS(Components!$B$6:$B$305,"EP",Components!$C$6:$C$305,A26,Components!$D$6:$D$305,"PJ",Components!$M$6:$M$305,"YES")&gt;0,COUNTIFS(Components!$B$6:$B$305,"EP",Components!$C$6:$C$305,A26,Components!$D$6:$D$305,"LK",Components!$M$6:$M$305,"YES")&gt;0,COUNTIFS(Components!$B$6:$B$305,"EP",Components!$C$6:$C$305,A26,Components!$M$6:$M$305,"YES",Components!$N$6:$N$305,"&lt;&gt;COMPLETE")=0),SUMIFS(Components!$I$6:$I$305,Components!$B$6:$B$305,"EP",Components!$C$6:$C$305,A26,Components!$D$6:$D$305,"LK",Components!$M$6:$M$305,"YES"),""))</x:f>
      </x:c>
      <x:c r="I26" s="41" t="str">
        <x:f>IF(COUNT(F26:H26)=3,F26-G26-H26,"")</x:f>
      </x:c>
      <x:c r="J26" s="36"/>
      <x:c r="K26" s="36"/>
      <x:c r="L26" s="41" t="str">
        <x:f>IF(COUNT(I26,K26)=2,IF(J26="DEDUCTION",IF(K26&gt;=0,I26-K26,""),IF(J26="BOUND",IF(K26&lt;=I26+Profile!$B$18,K26,""),"")),"")</x:f>
      </x:c>
      <x:c r="M26" s="36"/>
      <x:c r="N26" s="36"/>
      <x:c r="O26" s="36"/>
      <x:c r="P26" s="41" t="str">
        <x:f>IF(A26="","",IF(AND(COUNTIF($A$6:$A$55,A26)=1,B26&lt;&gt;"",C26&lt;&gt;"",D26&lt;&gt;"",E26="YES",ISNUMBER(L26),AND(O26&lt;&gt;"",OR(M26="REPORTED",AND(M26="OVV_ASSESSED",N26&lt;&gt;"")))),"CALCULATED - EP","HOLD: COMPLETE ACCOUNT"))</x:f>
      </x:c>
    </x:row>
    <x:row r="27" ht="23" customHeight="1">
      <x:c r="A27" s="38"/>
      <x:c r="B27" s="36"/>
      <x:c r="C27" s="36"/>
      <x:c r="D27" s="36"/>
      <x:c r="E27" s="36"/>
      <x:c r="F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BL",Components!$M$6:$M$305,"YES"),""))</x:f>
      </x:c>
      <x:c r="G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PJ",Components!$M$6:$M$305,"YES"),""))</x:f>
      </x:c>
      <x:c r="H27" s="41" t="str">
        <x:f>IF(A27="","",IF(AND(COUNTIFS(Components!$B$6:$B$305,"EP",Components!$C$6:$C$305,A27,Components!$D$6:$D$305,"BL",Components!$M$6:$M$305,"YES")&gt;0,COUNTIFS(Components!$B$6:$B$305,"EP",Components!$C$6:$C$305,A27,Components!$D$6:$D$305,"PJ",Components!$M$6:$M$305,"YES")&gt;0,COUNTIFS(Components!$B$6:$B$305,"EP",Components!$C$6:$C$305,A27,Components!$D$6:$D$305,"LK",Components!$M$6:$M$305,"YES")&gt;0,COUNTIFS(Components!$B$6:$B$305,"EP",Components!$C$6:$C$305,A27,Components!$M$6:$M$305,"YES",Components!$N$6:$N$305,"&lt;&gt;COMPLETE")=0),SUMIFS(Components!$I$6:$I$305,Components!$B$6:$B$305,"EP",Components!$C$6:$C$305,A27,Components!$D$6:$D$305,"LK",Components!$M$6:$M$305,"YES"),""))</x:f>
      </x:c>
      <x:c r="I27" s="41" t="str">
        <x:f>IF(COUNT(F27:H27)=3,F27-G27-H27,"")</x:f>
      </x:c>
      <x:c r="J27" s="36"/>
      <x:c r="K27" s="36"/>
      <x:c r="L27" s="41" t="str">
        <x:f>IF(COUNT(I27,K27)=2,IF(J27="DEDUCTION",IF(K27&gt;=0,I27-K27,""),IF(J27="BOUND",IF(K27&lt;=I27+Profile!$B$18,K27,""),"")),"")</x:f>
      </x:c>
      <x:c r="M27" s="36"/>
      <x:c r="N27" s="36"/>
      <x:c r="O27" s="36"/>
      <x:c r="P27" s="41" t="str">
        <x:f>IF(A27="","",IF(AND(COUNTIF($A$6:$A$55,A27)=1,B27&lt;&gt;"",C27&lt;&gt;"",D27&lt;&gt;"",E27="YES",ISNUMBER(L27),AND(O27&lt;&gt;"",OR(M27="REPORTED",AND(M27="OVV_ASSESSED",N27&lt;&gt;"")))),"CALCULATED - EP","HOLD: COMPLETE ACCOUNT"))</x:f>
      </x:c>
    </x:row>
    <x:row r="28" ht="23" customHeight="1">
      <x:c r="A28" s="38"/>
      <x:c r="B28" s="36"/>
      <x:c r="C28" s="36"/>
      <x:c r="D28" s="36"/>
      <x:c r="E28" s="36"/>
      <x:c r="F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BL",Components!$M$6:$M$305,"YES"),""))</x:f>
      </x:c>
      <x:c r="G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PJ",Components!$M$6:$M$305,"YES"),""))</x:f>
      </x:c>
      <x:c r="H28" s="41" t="str">
        <x:f>IF(A28="","",IF(AND(COUNTIFS(Components!$B$6:$B$305,"EP",Components!$C$6:$C$305,A28,Components!$D$6:$D$305,"BL",Components!$M$6:$M$305,"YES")&gt;0,COUNTIFS(Components!$B$6:$B$305,"EP",Components!$C$6:$C$305,A28,Components!$D$6:$D$305,"PJ",Components!$M$6:$M$305,"YES")&gt;0,COUNTIFS(Components!$B$6:$B$305,"EP",Components!$C$6:$C$305,A28,Components!$D$6:$D$305,"LK",Components!$M$6:$M$305,"YES")&gt;0,COUNTIFS(Components!$B$6:$B$305,"EP",Components!$C$6:$C$305,A28,Components!$M$6:$M$305,"YES",Components!$N$6:$N$305,"&lt;&gt;COMPLETE")=0),SUMIFS(Components!$I$6:$I$305,Components!$B$6:$B$305,"EP",Components!$C$6:$C$305,A28,Components!$D$6:$D$305,"LK",Components!$M$6:$M$305,"YES"),""))</x:f>
      </x:c>
      <x:c r="I28" s="41" t="str">
        <x:f>IF(COUNT(F28:H28)=3,F28-G28-H28,"")</x:f>
      </x:c>
      <x:c r="J28" s="36"/>
      <x:c r="K28" s="36"/>
      <x:c r="L28" s="41" t="str">
        <x:f>IF(COUNT(I28,K28)=2,IF(J28="DEDUCTION",IF(K28&gt;=0,I28-K28,""),IF(J28="BOUND",IF(K28&lt;=I28+Profile!$B$18,K28,""),"")),"")</x:f>
      </x:c>
      <x:c r="M28" s="36"/>
      <x:c r="N28" s="36"/>
      <x:c r="O28" s="36"/>
      <x:c r="P28" s="41" t="str">
        <x:f>IF(A28="","",IF(AND(COUNTIF($A$6:$A$55,A28)=1,B28&lt;&gt;"",C28&lt;&gt;"",D28&lt;&gt;"",E28="YES",ISNUMBER(L28),AND(O28&lt;&gt;"",OR(M28="REPORTED",AND(M28="OVV_ASSESSED",N28&lt;&gt;"")))),"CALCULATED - EP","HOLD: COMPLETE ACCOUNT"))</x:f>
      </x:c>
    </x:row>
    <x:row r="29" ht="23" customHeight="1">
      <x:c r="A29" s="38"/>
      <x:c r="B29" s="36"/>
      <x:c r="C29" s="36"/>
      <x:c r="D29" s="36"/>
      <x:c r="E29" s="36"/>
      <x:c r="F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BL",Components!$M$6:$M$305,"YES"),""))</x:f>
      </x:c>
      <x:c r="G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PJ",Components!$M$6:$M$305,"YES"),""))</x:f>
      </x:c>
      <x:c r="H29" s="41" t="str">
        <x:f>IF(A29="","",IF(AND(COUNTIFS(Components!$B$6:$B$305,"EP",Components!$C$6:$C$305,A29,Components!$D$6:$D$305,"BL",Components!$M$6:$M$305,"YES")&gt;0,COUNTIFS(Components!$B$6:$B$305,"EP",Components!$C$6:$C$305,A29,Components!$D$6:$D$305,"PJ",Components!$M$6:$M$305,"YES")&gt;0,COUNTIFS(Components!$B$6:$B$305,"EP",Components!$C$6:$C$305,A29,Components!$D$6:$D$305,"LK",Components!$M$6:$M$305,"YES")&gt;0,COUNTIFS(Components!$B$6:$B$305,"EP",Components!$C$6:$C$305,A29,Components!$M$6:$M$305,"YES",Components!$N$6:$N$305,"&lt;&gt;COMPLETE")=0),SUMIFS(Components!$I$6:$I$305,Components!$B$6:$B$305,"EP",Components!$C$6:$C$305,A29,Components!$D$6:$D$305,"LK",Components!$M$6:$M$305,"YES"),""))</x:f>
      </x:c>
      <x:c r="I29" s="41" t="str">
        <x:f>IF(COUNT(F29:H29)=3,F29-G29-H29,"")</x:f>
      </x:c>
      <x:c r="J29" s="36"/>
      <x:c r="K29" s="36"/>
      <x:c r="L29" s="41" t="str">
        <x:f>IF(COUNT(I29,K29)=2,IF(J29="DEDUCTION",IF(K29&gt;=0,I29-K29,""),IF(J29="BOUND",IF(K29&lt;=I29+Profile!$B$18,K29,""),"")),"")</x:f>
      </x:c>
      <x:c r="M29" s="36"/>
      <x:c r="N29" s="36"/>
      <x:c r="O29" s="36"/>
      <x:c r="P29" s="41" t="str">
        <x:f>IF(A29="","",IF(AND(COUNTIF($A$6:$A$55,A29)=1,B29&lt;&gt;"",C29&lt;&gt;"",D29&lt;&gt;"",E29="YES",ISNUMBER(L29),AND(O29&lt;&gt;"",OR(M29="REPORTED",AND(M29="OVV_ASSESSED",N29&lt;&gt;"")))),"CALCULATED - EP","HOLD: COMPLETE ACCOUNT"))</x:f>
      </x:c>
    </x:row>
    <x:row r="30" ht="23" customHeight="1">
      <x:c r="A30" s="38"/>
      <x:c r="B30" s="36"/>
      <x:c r="C30" s="36"/>
      <x:c r="D30" s="36"/>
      <x:c r="E30" s="36"/>
      <x:c r="F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BL",Components!$M$6:$M$305,"YES"),""))</x:f>
      </x:c>
      <x:c r="G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PJ",Components!$M$6:$M$305,"YES"),""))</x:f>
      </x:c>
      <x:c r="H30" s="41" t="str">
        <x:f>IF(A30="","",IF(AND(COUNTIFS(Components!$B$6:$B$305,"EP",Components!$C$6:$C$305,A30,Components!$D$6:$D$305,"BL",Components!$M$6:$M$305,"YES")&gt;0,COUNTIFS(Components!$B$6:$B$305,"EP",Components!$C$6:$C$305,A30,Components!$D$6:$D$305,"PJ",Components!$M$6:$M$305,"YES")&gt;0,COUNTIFS(Components!$B$6:$B$305,"EP",Components!$C$6:$C$305,A30,Components!$D$6:$D$305,"LK",Components!$M$6:$M$305,"YES")&gt;0,COUNTIFS(Components!$B$6:$B$305,"EP",Components!$C$6:$C$305,A30,Components!$M$6:$M$305,"YES",Components!$N$6:$N$305,"&lt;&gt;COMPLETE")=0),SUMIFS(Components!$I$6:$I$305,Components!$B$6:$B$305,"EP",Components!$C$6:$C$305,A30,Components!$D$6:$D$305,"LK",Components!$M$6:$M$305,"YES"),""))</x:f>
      </x:c>
      <x:c r="I30" s="41" t="str">
        <x:f>IF(COUNT(F30:H30)=3,F30-G30-H30,"")</x:f>
      </x:c>
      <x:c r="J30" s="36"/>
      <x:c r="K30" s="36"/>
      <x:c r="L30" s="41" t="str">
        <x:f>IF(COUNT(I30,K30)=2,IF(J30="DEDUCTION",IF(K30&gt;=0,I30-K30,""),IF(J30="BOUND",IF(K30&lt;=I30+Profile!$B$18,K30,""),"")),"")</x:f>
      </x:c>
      <x:c r="M30" s="36"/>
      <x:c r="N30" s="36"/>
      <x:c r="O30" s="36"/>
      <x:c r="P30" s="41" t="str">
        <x:f>IF(A30="","",IF(AND(COUNTIF($A$6:$A$55,A30)=1,B30&lt;&gt;"",C30&lt;&gt;"",D30&lt;&gt;"",E30="YES",ISNUMBER(L30),AND(O30&lt;&gt;"",OR(M30="REPORTED",AND(M30="OVV_ASSESSED",N30&lt;&gt;"")))),"CALCULATED - EP","HOLD: COMPLETE ACCOUNT"))</x:f>
      </x:c>
    </x:row>
    <x:row r="31" ht="23" customHeight="1">
      <x:c r="A31" s="38"/>
      <x:c r="B31" s="36"/>
      <x:c r="C31" s="36"/>
      <x:c r="D31" s="36"/>
      <x:c r="E31" s="36"/>
      <x:c r="F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BL",Components!$M$6:$M$305,"YES"),""))</x:f>
      </x:c>
      <x:c r="G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PJ",Components!$M$6:$M$305,"YES"),""))</x:f>
      </x:c>
      <x:c r="H31" s="41" t="str">
        <x:f>IF(A31="","",IF(AND(COUNTIFS(Components!$B$6:$B$305,"EP",Components!$C$6:$C$305,A31,Components!$D$6:$D$305,"BL",Components!$M$6:$M$305,"YES")&gt;0,COUNTIFS(Components!$B$6:$B$305,"EP",Components!$C$6:$C$305,A31,Components!$D$6:$D$305,"PJ",Components!$M$6:$M$305,"YES")&gt;0,COUNTIFS(Components!$B$6:$B$305,"EP",Components!$C$6:$C$305,A31,Components!$D$6:$D$305,"LK",Components!$M$6:$M$305,"YES")&gt;0,COUNTIFS(Components!$B$6:$B$305,"EP",Components!$C$6:$C$305,A31,Components!$M$6:$M$305,"YES",Components!$N$6:$N$305,"&lt;&gt;COMPLETE")=0),SUMIFS(Components!$I$6:$I$305,Components!$B$6:$B$305,"EP",Components!$C$6:$C$305,A31,Components!$D$6:$D$305,"LK",Components!$M$6:$M$305,"YES"),""))</x:f>
      </x:c>
      <x:c r="I31" s="41" t="str">
        <x:f>IF(COUNT(F31:H31)=3,F31-G31-H31,"")</x:f>
      </x:c>
      <x:c r="J31" s="36"/>
      <x:c r="K31" s="36"/>
      <x:c r="L31" s="41" t="str">
        <x:f>IF(COUNT(I31,K31)=2,IF(J31="DEDUCTION",IF(K31&gt;=0,I31-K31,""),IF(J31="BOUND",IF(K31&lt;=I31+Profile!$B$18,K31,""),"")),"")</x:f>
      </x:c>
      <x:c r="M31" s="36"/>
      <x:c r="N31" s="36"/>
      <x:c r="O31" s="36"/>
      <x:c r="P31" s="41" t="str">
        <x:f>IF(A31="","",IF(AND(COUNTIF($A$6:$A$55,A31)=1,B31&lt;&gt;"",C31&lt;&gt;"",D31&lt;&gt;"",E31="YES",ISNUMBER(L31),AND(O31&lt;&gt;"",OR(M31="REPORTED",AND(M31="OVV_ASSESSED",N31&lt;&gt;"")))),"CALCULATED - EP","HOLD: COMPLETE ACCOUNT"))</x:f>
      </x:c>
    </x:row>
    <x:row r="32" ht="23" customHeight="1">
      <x:c r="A32" s="38"/>
      <x:c r="B32" s="36"/>
      <x:c r="C32" s="36"/>
      <x:c r="D32" s="36"/>
      <x:c r="E32" s="36"/>
      <x:c r="F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BL",Components!$M$6:$M$305,"YES"),""))</x:f>
      </x:c>
      <x:c r="G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PJ",Components!$M$6:$M$305,"YES"),""))</x:f>
      </x:c>
      <x:c r="H32" s="41" t="str">
        <x:f>IF(A32="","",IF(AND(COUNTIFS(Components!$B$6:$B$305,"EP",Components!$C$6:$C$305,A32,Components!$D$6:$D$305,"BL",Components!$M$6:$M$305,"YES")&gt;0,COUNTIFS(Components!$B$6:$B$305,"EP",Components!$C$6:$C$305,A32,Components!$D$6:$D$305,"PJ",Components!$M$6:$M$305,"YES")&gt;0,COUNTIFS(Components!$B$6:$B$305,"EP",Components!$C$6:$C$305,A32,Components!$D$6:$D$305,"LK",Components!$M$6:$M$305,"YES")&gt;0,COUNTIFS(Components!$B$6:$B$305,"EP",Components!$C$6:$C$305,A32,Components!$M$6:$M$305,"YES",Components!$N$6:$N$305,"&lt;&gt;COMPLETE")=0),SUMIFS(Components!$I$6:$I$305,Components!$B$6:$B$305,"EP",Components!$C$6:$C$305,A32,Components!$D$6:$D$305,"LK",Components!$M$6:$M$305,"YES"),""))</x:f>
      </x:c>
      <x:c r="I32" s="41" t="str">
        <x:f>IF(COUNT(F32:H32)=3,F32-G32-H32,"")</x:f>
      </x:c>
      <x:c r="J32" s="36"/>
      <x:c r="K32" s="36"/>
      <x:c r="L32" s="41" t="str">
        <x:f>IF(COUNT(I32,K32)=2,IF(J32="DEDUCTION",IF(K32&gt;=0,I32-K32,""),IF(J32="BOUND",IF(K32&lt;=I32+Profile!$B$18,K32,""),"")),"")</x:f>
      </x:c>
      <x:c r="M32" s="36"/>
      <x:c r="N32" s="36"/>
      <x:c r="O32" s="36"/>
      <x:c r="P32" s="41" t="str">
        <x:f>IF(A32="","",IF(AND(COUNTIF($A$6:$A$55,A32)=1,B32&lt;&gt;"",C32&lt;&gt;"",D32&lt;&gt;"",E32="YES",ISNUMBER(L32),AND(O32&lt;&gt;"",OR(M32="REPORTED",AND(M32="OVV_ASSESSED",N32&lt;&gt;"")))),"CALCULATED - EP","HOLD: COMPLETE ACCOUNT"))</x:f>
      </x:c>
    </x:row>
    <x:row r="33" ht="23" customHeight="1">
      <x:c r="A33" s="38"/>
      <x:c r="B33" s="36"/>
      <x:c r="C33" s="36"/>
      <x:c r="D33" s="36"/>
      <x:c r="E33" s="36"/>
      <x:c r="F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BL",Components!$M$6:$M$305,"YES"),""))</x:f>
      </x:c>
      <x:c r="G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PJ",Components!$M$6:$M$305,"YES"),""))</x:f>
      </x:c>
      <x:c r="H33" s="41" t="str">
        <x:f>IF(A33="","",IF(AND(COUNTIFS(Components!$B$6:$B$305,"EP",Components!$C$6:$C$305,A33,Components!$D$6:$D$305,"BL",Components!$M$6:$M$305,"YES")&gt;0,COUNTIFS(Components!$B$6:$B$305,"EP",Components!$C$6:$C$305,A33,Components!$D$6:$D$305,"PJ",Components!$M$6:$M$305,"YES")&gt;0,COUNTIFS(Components!$B$6:$B$305,"EP",Components!$C$6:$C$305,A33,Components!$D$6:$D$305,"LK",Components!$M$6:$M$305,"YES")&gt;0,COUNTIFS(Components!$B$6:$B$305,"EP",Components!$C$6:$C$305,A33,Components!$M$6:$M$305,"YES",Components!$N$6:$N$305,"&lt;&gt;COMPLETE")=0),SUMIFS(Components!$I$6:$I$305,Components!$B$6:$B$305,"EP",Components!$C$6:$C$305,A33,Components!$D$6:$D$305,"LK",Components!$M$6:$M$305,"YES"),""))</x:f>
      </x:c>
      <x:c r="I33" s="41" t="str">
        <x:f>IF(COUNT(F33:H33)=3,F33-G33-H33,"")</x:f>
      </x:c>
      <x:c r="J33" s="36"/>
      <x:c r="K33" s="36"/>
      <x:c r="L33" s="41" t="str">
        <x:f>IF(COUNT(I33,K33)=2,IF(J33="DEDUCTION",IF(K33&gt;=0,I33-K33,""),IF(J33="BOUND",IF(K33&lt;=I33+Profile!$B$18,K33,""),"")),"")</x:f>
      </x:c>
      <x:c r="M33" s="36"/>
      <x:c r="N33" s="36"/>
      <x:c r="O33" s="36"/>
      <x:c r="P33" s="41" t="str">
        <x:f>IF(A33="","",IF(AND(COUNTIF($A$6:$A$55,A33)=1,B33&lt;&gt;"",C33&lt;&gt;"",D33&lt;&gt;"",E33="YES",ISNUMBER(L33),AND(O33&lt;&gt;"",OR(M33="REPORTED",AND(M33="OVV_ASSESSED",N33&lt;&gt;"")))),"CALCULATED - EP","HOLD: COMPLETE ACCOUNT"))</x:f>
      </x:c>
    </x:row>
    <x:row r="34" ht="23" customHeight="1">
      <x:c r="A34" s="38"/>
      <x:c r="B34" s="36"/>
      <x:c r="C34" s="36"/>
      <x:c r="D34" s="36"/>
      <x:c r="E34" s="36"/>
      <x:c r="F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BL",Components!$M$6:$M$305,"YES"),""))</x:f>
      </x:c>
      <x:c r="G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PJ",Components!$M$6:$M$305,"YES"),""))</x:f>
      </x:c>
      <x:c r="H34" s="41" t="str">
        <x:f>IF(A34="","",IF(AND(COUNTIFS(Components!$B$6:$B$305,"EP",Components!$C$6:$C$305,A34,Components!$D$6:$D$305,"BL",Components!$M$6:$M$305,"YES")&gt;0,COUNTIFS(Components!$B$6:$B$305,"EP",Components!$C$6:$C$305,A34,Components!$D$6:$D$305,"PJ",Components!$M$6:$M$305,"YES")&gt;0,COUNTIFS(Components!$B$6:$B$305,"EP",Components!$C$6:$C$305,A34,Components!$D$6:$D$305,"LK",Components!$M$6:$M$305,"YES")&gt;0,COUNTIFS(Components!$B$6:$B$305,"EP",Components!$C$6:$C$305,A34,Components!$M$6:$M$305,"YES",Components!$N$6:$N$305,"&lt;&gt;COMPLETE")=0),SUMIFS(Components!$I$6:$I$305,Components!$B$6:$B$305,"EP",Components!$C$6:$C$305,A34,Components!$D$6:$D$305,"LK",Components!$M$6:$M$305,"YES"),""))</x:f>
      </x:c>
      <x:c r="I34" s="41" t="str">
        <x:f>IF(COUNT(F34:H34)=3,F34-G34-H34,"")</x:f>
      </x:c>
      <x:c r="J34" s="36"/>
      <x:c r="K34" s="36"/>
      <x:c r="L34" s="41" t="str">
        <x:f>IF(COUNT(I34,K34)=2,IF(J34="DEDUCTION",IF(K34&gt;=0,I34-K34,""),IF(J34="BOUND",IF(K34&lt;=I34+Profile!$B$18,K34,""),"")),"")</x:f>
      </x:c>
      <x:c r="M34" s="36"/>
      <x:c r="N34" s="36"/>
      <x:c r="O34" s="36"/>
      <x:c r="P34" s="41" t="str">
        <x:f>IF(A34="","",IF(AND(COUNTIF($A$6:$A$55,A34)=1,B34&lt;&gt;"",C34&lt;&gt;"",D34&lt;&gt;"",E34="YES",ISNUMBER(L34),AND(O34&lt;&gt;"",OR(M34="REPORTED",AND(M34="OVV_ASSESSED",N34&lt;&gt;"")))),"CALCULATED - EP","HOLD: COMPLETE ACCOUNT"))</x:f>
      </x:c>
    </x:row>
    <x:row r="35" ht="23" customHeight="1">
      <x:c r="A35" s="38"/>
      <x:c r="B35" s="36"/>
      <x:c r="C35" s="36"/>
      <x:c r="D35" s="36"/>
      <x:c r="E35" s="36"/>
      <x:c r="F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BL",Components!$M$6:$M$305,"YES"),""))</x:f>
      </x:c>
      <x:c r="G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PJ",Components!$M$6:$M$305,"YES"),""))</x:f>
      </x:c>
      <x:c r="H35" s="41" t="str">
        <x:f>IF(A35="","",IF(AND(COUNTIFS(Components!$B$6:$B$305,"EP",Components!$C$6:$C$305,A35,Components!$D$6:$D$305,"BL",Components!$M$6:$M$305,"YES")&gt;0,COUNTIFS(Components!$B$6:$B$305,"EP",Components!$C$6:$C$305,A35,Components!$D$6:$D$305,"PJ",Components!$M$6:$M$305,"YES")&gt;0,COUNTIFS(Components!$B$6:$B$305,"EP",Components!$C$6:$C$305,A35,Components!$D$6:$D$305,"LK",Components!$M$6:$M$305,"YES")&gt;0,COUNTIFS(Components!$B$6:$B$305,"EP",Components!$C$6:$C$305,A35,Components!$M$6:$M$305,"YES",Components!$N$6:$N$305,"&lt;&gt;COMPLETE")=0),SUMIFS(Components!$I$6:$I$305,Components!$B$6:$B$305,"EP",Components!$C$6:$C$305,A35,Components!$D$6:$D$305,"LK",Components!$M$6:$M$305,"YES"),""))</x:f>
      </x:c>
      <x:c r="I35" s="41" t="str">
        <x:f>IF(COUNT(F35:H35)=3,F35-G35-H35,"")</x:f>
      </x:c>
      <x:c r="J35" s="36"/>
      <x:c r="K35" s="36"/>
      <x:c r="L35" s="41" t="str">
        <x:f>IF(COUNT(I35,K35)=2,IF(J35="DEDUCTION",IF(K35&gt;=0,I35-K35,""),IF(J35="BOUND",IF(K35&lt;=I35+Profile!$B$18,K35,""),"")),"")</x:f>
      </x:c>
      <x:c r="M35" s="36"/>
      <x:c r="N35" s="36"/>
      <x:c r="O35" s="36"/>
      <x:c r="P35" s="41" t="str">
        <x:f>IF(A35="","",IF(AND(COUNTIF($A$6:$A$55,A35)=1,B35&lt;&gt;"",C35&lt;&gt;"",D35&lt;&gt;"",E35="YES",ISNUMBER(L35),AND(O35&lt;&gt;"",OR(M35="REPORTED",AND(M35="OVV_ASSESSED",N35&lt;&gt;"")))),"CALCULATED - EP","HOLD: COMPLETE ACCOUNT"))</x:f>
      </x:c>
    </x:row>
    <x:row r="36" ht="23" customHeight="1">
      <x:c r="A36" s="38"/>
      <x:c r="B36" s="36"/>
      <x:c r="C36" s="36"/>
      <x:c r="D36" s="36"/>
      <x:c r="E36" s="36"/>
      <x:c r="F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BL",Components!$M$6:$M$305,"YES"),""))</x:f>
      </x:c>
      <x:c r="G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PJ",Components!$M$6:$M$305,"YES"),""))</x:f>
      </x:c>
      <x:c r="H36" s="41" t="str">
        <x:f>IF(A36="","",IF(AND(COUNTIFS(Components!$B$6:$B$305,"EP",Components!$C$6:$C$305,A36,Components!$D$6:$D$305,"BL",Components!$M$6:$M$305,"YES")&gt;0,COUNTIFS(Components!$B$6:$B$305,"EP",Components!$C$6:$C$305,A36,Components!$D$6:$D$305,"PJ",Components!$M$6:$M$305,"YES")&gt;0,COUNTIFS(Components!$B$6:$B$305,"EP",Components!$C$6:$C$305,A36,Components!$D$6:$D$305,"LK",Components!$M$6:$M$305,"YES")&gt;0,COUNTIFS(Components!$B$6:$B$305,"EP",Components!$C$6:$C$305,A36,Components!$M$6:$M$305,"YES",Components!$N$6:$N$305,"&lt;&gt;COMPLETE")=0),SUMIFS(Components!$I$6:$I$305,Components!$B$6:$B$305,"EP",Components!$C$6:$C$305,A36,Components!$D$6:$D$305,"LK",Components!$M$6:$M$305,"YES"),""))</x:f>
      </x:c>
      <x:c r="I36" s="41" t="str">
        <x:f>IF(COUNT(F36:H36)=3,F36-G36-H36,"")</x:f>
      </x:c>
      <x:c r="J36" s="36"/>
      <x:c r="K36" s="36"/>
      <x:c r="L36" s="41" t="str">
        <x:f>IF(COUNT(I36,K36)=2,IF(J36="DEDUCTION",IF(K36&gt;=0,I36-K36,""),IF(J36="BOUND",IF(K36&lt;=I36+Profile!$B$18,K36,""),"")),"")</x:f>
      </x:c>
      <x:c r="M36" s="36"/>
      <x:c r="N36" s="36"/>
      <x:c r="O36" s="36"/>
      <x:c r="P36" s="41" t="str">
        <x:f>IF(A36="","",IF(AND(COUNTIF($A$6:$A$55,A36)=1,B36&lt;&gt;"",C36&lt;&gt;"",D36&lt;&gt;"",E36="YES",ISNUMBER(L36),AND(O36&lt;&gt;"",OR(M36="REPORTED",AND(M36="OVV_ASSESSED",N36&lt;&gt;"")))),"CALCULATED - EP","HOLD: COMPLETE ACCOUNT"))</x:f>
      </x:c>
    </x:row>
    <x:row r="37" ht="23" customHeight="1">
      <x:c r="A37" s="38"/>
      <x:c r="B37" s="36"/>
      <x:c r="C37" s="36"/>
      <x:c r="D37" s="36"/>
      <x:c r="E37" s="36"/>
      <x:c r="F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BL",Components!$M$6:$M$305,"YES"),""))</x:f>
      </x:c>
      <x:c r="G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PJ",Components!$M$6:$M$305,"YES"),""))</x:f>
      </x:c>
      <x:c r="H37" s="41" t="str">
        <x:f>IF(A37="","",IF(AND(COUNTIFS(Components!$B$6:$B$305,"EP",Components!$C$6:$C$305,A37,Components!$D$6:$D$305,"BL",Components!$M$6:$M$305,"YES")&gt;0,COUNTIFS(Components!$B$6:$B$305,"EP",Components!$C$6:$C$305,A37,Components!$D$6:$D$305,"PJ",Components!$M$6:$M$305,"YES")&gt;0,COUNTIFS(Components!$B$6:$B$305,"EP",Components!$C$6:$C$305,A37,Components!$D$6:$D$305,"LK",Components!$M$6:$M$305,"YES")&gt;0,COUNTIFS(Components!$B$6:$B$305,"EP",Components!$C$6:$C$305,A37,Components!$M$6:$M$305,"YES",Components!$N$6:$N$305,"&lt;&gt;COMPLETE")=0),SUMIFS(Components!$I$6:$I$305,Components!$B$6:$B$305,"EP",Components!$C$6:$C$305,A37,Components!$D$6:$D$305,"LK",Components!$M$6:$M$305,"YES"),""))</x:f>
      </x:c>
      <x:c r="I37" s="41" t="str">
        <x:f>IF(COUNT(F37:H37)=3,F37-G37-H37,"")</x:f>
      </x:c>
      <x:c r="J37" s="36"/>
      <x:c r="K37" s="36"/>
      <x:c r="L37" s="41" t="str">
        <x:f>IF(COUNT(I37,K37)=2,IF(J37="DEDUCTION",IF(K37&gt;=0,I37-K37,""),IF(J37="BOUND",IF(K37&lt;=I37+Profile!$B$18,K37,""),"")),"")</x:f>
      </x:c>
      <x:c r="M37" s="36"/>
      <x:c r="N37" s="36"/>
      <x:c r="O37" s="36"/>
      <x:c r="P37" s="41" t="str">
        <x:f>IF(A37="","",IF(AND(COUNTIF($A$6:$A$55,A37)=1,B37&lt;&gt;"",C37&lt;&gt;"",D37&lt;&gt;"",E37="YES",ISNUMBER(L37),AND(O37&lt;&gt;"",OR(M37="REPORTED",AND(M37="OVV_ASSESSED",N37&lt;&gt;"")))),"CALCULATED - EP","HOLD: COMPLETE ACCOUNT"))</x:f>
      </x:c>
    </x:row>
    <x:row r="38" ht="23" customHeight="1">
      <x:c r="A38" s="38"/>
      <x:c r="B38" s="36"/>
      <x:c r="C38" s="36"/>
      <x:c r="D38" s="36"/>
      <x:c r="E38" s="36"/>
      <x:c r="F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BL",Components!$M$6:$M$305,"YES"),""))</x:f>
      </x:c>
      <x:c r="G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PJ",Components!$M$6:$M$305,"YES"),""))</x:f>
      </x:c>
      <x:c r="H38" s="41" t="str">
        <x:f>IF(A38="","",IF(AND(COUNTIFS(Components!$B$6:$B$305,"EP",Components!$C$6:$C$305,A38,Components!$D$6:$D$305,"BL",Components!$M$6:$M$305,"YES")&gt;0,COUNTIFS(Components!$B$6:$B$305,"EP",Components!$C$6:$C$305,A38,Components!$D$6:$D$305,"PJ",Components!$M$6:$M$305,"YES")&gt;0,COUNTIFS(Components!$B$6:$B$305,"EP",Components!$C$6:$C$305,A38,Components!$D$6:$D$305,"LK",Components!$M$6:$M$305,"YES")&gt;0,COUNTIFS(Components!$B$6:$B$305,"EP",Components!$C$6:$C$305,A38,Components!$M$6:$M$305,"YES",Components!$N$6:$N$305,"&lt;&gt;COMPLETE")=0),SUMIFS(Components!$I$6:$I$305,Components!$B$6:$B$305,"EP",Components!$C$6:$C$305,A38,Components!$D$6:$D$305,"LK",Components!$M$6:$M$305,"YES"),""))</x:f>
      </x:c>
      <x:c r="I38" s="41" t="str">
        <x:f>IF(COUNT(F38:H38)=3,F38-G38-H38,"")</x:f>
      </x:c>
      <x:c r="J38" s="36"/>
      <x:c r="K38" s="36"/>
      <x:c r="L38" s="41" t="str">
        <x:f>IF(COUNT(I38,K38)=2,IF(J38="DEDUCTION",IF(K38&gt;=0,I38-K38,""),IF(J38="BOUND",IF(K38&lt;=I38+Profile!$B$18,K38,""),"")),"")</x:f>
      </x:c>
      <x:c r="M38" s="36"/>
      <x:c r="N38" s="36"/>
      <x:c r="O38" s="36"/>
      <x:c r="P38" s="41" t="str">
        <x:f>IF(A38="","",IF(AND(COUNTIF($A$6:$A$55,A38)=1,B38&lt;&gt;"",C38&lt;&gt;"",D38&lt;&gt;"",E38="YES",ISNUMBER(L38),AND(O38&lt;&gt;"",OR(M38="REPORTED",AND(M38="OVV_ASSESSED",N38&lt;&gt;"")))),"CALCULATED - EP","HOLD: COMPLETE ACCOUNT"))</x:f>
      </x:c>
    </x:row>
    <x:row r="39" ht="23" customHeight="1">
      <x:c r="A39" s="38"/>
      <x:c r="B39" s="36"/>
      <x:c r="C39" s="36"/>
      <x:c r="D39" s="36"/>
      <x:c r="E39" s="36"/>
      <x:c r="F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BL",Components!$M$6:$M$305,"YES"),""))</x:f>
      </x:c>
      <x:c r="G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PJ",Components!$M$6:$M$305,"YES"),""))</x:f>
      </x:c>
      <x:c r="H39" s="41" t="str">
        <x:f>IF(A39="","",IF(AND(COUNTIFS(Components!$B$6:$B$305,"EP",Components!$C$6:$C$305,A39,Components!$D$6:$D$305,"BL",Components!$M$6:$M$305,"YES")&gt;0,COUNTIFS(Components!$B$6:$B$305,"EP",Components!$C$6:$C$305,A39,Components!$D$6:$D$305,"PJ",Components!$M$6:$M$305,"YES")&gt;0,COUNTIFS(Components!$B$6:$B$305,"EP",Components!$C$6:$C$305,A39,Components!$D$6:$D$305,"LK",Components!$M$6:$M$305,"YES")&gt;0,COUNTIFS(Components!$B$6:$B$305,"EP",Components!$C$6:$C$305,A39,Components!$M$6:$M$305,"YES",Components!$N$6:$N$305,"&lt;&gt;COMPLETE")=0),SUMIFS(Components!$I$6:$I$305,Components!$B$6:$B$305,"EP",Components!$C$6:$C$305,A39,Components!$D$6:$D$305,"LK",Components!$M$6:$M$305,"YES"),""))</x:f>
      </x:c>
      <x:c r="I39" s="41" t="str">
        <x:f>IF(COUNT(F39:H39)=3,F39-G39-H39,"")</x:f>
      </x:c>
      <x:c r="J39" s="36"/>
      <x:c r="K39" s="36"/>
      <x:c r="L39" s="41" t="str">
        <x:f>IF(COUNT(I39,K39)=2,IF(J39="DEDUCTION",IF(K39&gt;=0,I39-K39,""),IF(J39="BOUND",IF(K39&lt;=I39+Profile!$B$18,K39,""),"")),"")</x:f>
      </x:c>
      <x:c r="M39" s="36"/>
      <x:c r="N39" s="36"/>
      <x:c r="O39" s="36"/>
      <x:c r="P39" s="41" t="str">
        <x:f>IF(A39="","",IF(AND(COUNTIF($A$6:$A$55,A39)=1,B39&lt;&gt;"",C39&lt;&gt;"",D39&lt;&gt;"",E39="YES",ISNUMBER(L39),AND(O39&lt;&gt;"",OR(M39="REPORTED",AND(M39="OVV_ASSESSED",N39&lt;&gt;"")))),"CALCULATED - EP","HOLD: COMPLETE ACCOUNT"))</x:f>
      </x:c>
    </x:row>
    <x:row r="40" ht="23" customHeight="1">
      <x:c r="A40" s="38"/>
      <x:c r="B40" s="36"/>
      <x:c r="C40" s="36"/>
      <x:c r="D40" s="36"/>
      <x:c r="E40" s="36"/>
      <x:c r="F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BL",Components!$M$6:$M$305,"YES"),""))</x:f>
      </x:c>
      <x:c r="G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PJ",Components!$M$6:$M$305,"YES"),""))</x:f>
      </x:c>
      <x:c r="H40" s="41" t="str">
        <x:f>IF(A40="","",IF(AND(COUNTIFS(Components!$B$6:$B$305,"EP",Components!$C$6:$C$305,A40,Components!$D$6:$D$305,"BL",Components!$M$6:$M$305,"YES")&gt;0,COUNTIFS(Components!$B$6:$B$305,"EP",Components!$C$6:$C$305,A40,Components!$D$6:$D$305,"PJ",Components!$M$6:$M$305,"YES")&gt;0,COUNTIFS(Components!$B$6:$B$305,"EP",Components!$C$6:$C$305,A40,Components!$D$6:$D$305,"LK",Components!$M$6:$M$305,"YES")&gt;0,COUNTIFS(Components!$B$6:$B$305,"EP",Components!$C$6:$C$305,A40,Components!$M$6:$M$305,"YES",Components!$N$6:$N$305,"&lt;&gt;COMPLETE")=0),SUMIFS(Components!$I$6:$I$305,Components!$B$6:$B$305,"EP",Components!$C$6:$C$305,A40,Components!$D$6:$D$305,"LK",Components!$M$6:$M$305,"YES"),""))</x:f>
      </x:c>
      <x:c r="I40" s="41" t="str">
        <x:f>IF(COUNT(F40:H40)=3,F40-G40-H40,"")</x:f>
      </x:c>
      <x:c r="J40" s="36"/>
      <x:c r="K40" s="36"/>
      <x:c r="L40" s="41" t="str">
        <x:f>IF(COUNT(I40,K40)=2,IF(J40="DEDUCTION",IF(K40&gt;=0,I40-K40,""),IF(J40="BOUND",IF(K40&lt;=I40+Profile!$B$18,K40,""),"")),"")</x:f>
      </x:c>
      <x:c r="M40" s="36"/>
      <x:c r="N40" s="36"/>
      <x:c r="O40" s="36"/>
      <x:c r="P40" s="41" t="str">
        <x:f>IF(A40="","",IF(AND(COUNTIF($A$6:$A$55,A40)=1,B40&lt;&gt;"",C40&lt;&gt;"",D40&lt;&gt;"",E40="YES",ISNUMBER(L40),AND(O40&lt;&gt;"",OR(M40="REPORTED",AND(M40="OVV_ASSESSED",N40&lt;&gt;"")))),"CALCULATED - EP","HOLD: COMPLETE ACCOUNT"))</x:f>
      </x:c>
    </x:row>
    <x:row r="41" ht="23" customHeight="1">
      <x:c r="A41" s="38"/>
      <x:c r="B41" s="36"/>
      <x:c r="C41" s="36"/>
      <x:c r="D41" s="36"/>
      <x:c r="E41" s="36"/>
      <x:c r="F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BL",Components!$M$6:$M$305,"YES"),""))</x:f>
      </x:c>
      <x:c r="G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PJ",Components!$M$6:$M$305,"YES"),""))</x:f>
      </x:c>
      <x:c r="H41" s="41" t="str">
        <x:f>IF(A41="","",IF(AND(COUNTIFS(Components!$B$6:$B$305,"EP",Components!$C$6:$C$305,A41,Components!$D$6:$D$305,"BL",Components!$M$6:$M$305,"YES")&gt;0,COUNTIFS(Components!$B$6:$B$305,"EP",Components!$C$6:$C$305,A41,Components!$D$6:$D$305,"PJ",Components!$M$6:$M$305,"YES")&gt;0,COUNTIFS(Components!$B$6:$B$305,"EP",Components!$C$6:$C$305,A41,Components!$D$6:$D$305,"LK",Components!$M$6:$M$305,"YES")&gt;0,COUNTIFS(Components!$B$6:$B$305,"EP",Components!$C$6:$C$305,A41,Components!$M$6:$M$305,"YES",Components!$N$6:$N$305,"&lt;&gt;COMPLETE")=0),SUMIFS(Components!$I$6:$I$305,Components!$B$6:$B$305,"EP",Components!$C$6:$C$305,A41,Components!$D$6:$D$305,"LK",Components!$M$6:$M$305,"YES"),""))</x:f>
      </x:c>
      <x:c r="I41" s="41" t="str">
        <x:f>IF(COUNT(F41:H41)=3,F41-G41-H41,"")</x:f>
      </x:c>
      <x:c r="J41" s="36"/>
      <x:c r="K41" s="36"/>
      <x:c r="L41" s="41" t="str">
        <x:f>IF(COUNT(I41,K41)=2,IF(J41="DEDUCTION",IF(K41&gt;=0,I41-K41,""),IF(J41="BOUND",IF(K41&lt;=I41+Profile!$B$18,K41,""),"")),"")</x:f>
      </x:c>
      <x:c r="M41" s="36"/>
      <x:c r="N41" s="36"/>
      <x:c r="O41" s="36"/>
      <x:c r="P41" s="41" t="str">
        <x:f>IF(A41="","",IF(AND(COUNTIF($A$6:$A$55,A41)=1,B41&lt;&gt;"",C41&lt;&gt;"",D41&lt;&gt;"",E41="YES",ISNUMBER(L41),AND(O41&lt;&gt;"",OR(M41="REPORTED",AND(M41="OVV_ASSESSED",N41&lt;&gt;"")))),"CALCULATED - EP","HOLD: COMPLETE ACCOUNT"))</x:f>
      </x:c>
    </x:row>
    <x:row r="42" ht="23" customHeight="1">
      <x:c r="A42" s="38"/>
      <x:c r="B42" s="36"/>
      <x:c r="C42" s="36"/>
      <x:c r="D42" s="36"/>
      <x:c r="E42" s="36"/>
      <x:c r="F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BL",Components!$M$6:$M$305,"YES"),""))</x:f>
      </x:c>
      <x:c r="G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PJ",Components!$M$6:$M$305,"YES"),""))</x:f>
      </x:c>
      <x:c r="H42" s="41" t="str">
        <x:f>IF(A42="","",IF(AND(COUNTIFS(Components!$B$6:$B$305,"EP",Components!$C$6:$C$305,A42,Components!$D$6:$D$305,"BL",Components!$M$6:$M$305,"YES")&gt;0,COUNTIFS(Components!$B$6:$B$305,"EP",Components!$C$6:$C$305,A42,Components!$D$6:$D$305,"PJ",Components!$M$6:$M$305,"YES")&gt;0,COUNTIFS(Components!$B$6:$B$305,"EP",Components!$C$6:$C$305,A42,Components!$D$6:$D$305,"LK",Components!$M$6:$M$305,"YES")&gt;0,COUNTIFS(Components!$B$6:$B$305,"EP",Components!$C$6:$C$305,A42,Components!$M$6:$M$305,"YES",Components!$N$6:$N$305,"&lt;&gt;COMPLETE")=0),SUMIFS(Components!$I$6:$I$305,Components!$B$6:$B$305,"EP",Components!$C$6:$C$305,A42,Components!$D$6:$D$305,"LK",Components!$M$6:$M$305,"YES"),""))</x:f>
      </x:c>
      <x:c r="I42" s="41" t="str">
        <x:f>IF(COUNT(F42:H42)=3,F42-G42-H42,"")</x:f>
      </x:c>
      <x:c r="J42" s="36"/>
      <x:c r="K42" s="36"/>
      <x:c r="L42" s="41" t="str">
        <x:f>IF(COUNT(I42,K42)=2,IF(J42="DEDUCTION",IF(K42&gt;=0,I42-K42,""),IF(J42="BOUND",IF(K42&lt;=I42+Profile!$B$18,K42,""),"")),"")</x:f>
      </x:c>
      <x:c r="M42" s="36"/>
      <x:c r="N42" s="36"/>
      <x:c r="O42" s="36"/>
      <x:c r="P42" s="41" t="str">
        <x:f>IF(A42="","",IF(AND(COUNTIF($A$6:$A$55,A42)=1,B42&lt;&gt;"",C42&lt;&gt;"",D42&lt;&gt;"",E42="YES",ISNUMBER(L42),AND(O42&lt;&gt;"",OR(M42="REPORTED",AND(M42="OVV_ASSESSED",N42&lt;&gt;"")))),"CALCULATED - EP","HOLD: COMPLETE ACCOUNT"))</x:f>
      </x:c>
    </x:row>
    <x:row r="43" ht="23" customHeight="1">
      <x:c r="A43" s="38"/>
      <x:c r="B43" s="36"/>
      <x:c r="C43" s="36"/>
      <x:c r="D43" s="36"/>
      <x:c r="E43" s="36"/>
      <x:c r="F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BL",Components!$M$6:$M$305,"YES"),""))</x:f>
      </x:c>
      <x:c r="G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PJ",Components!$M$6:$M$305,"YES"),""))</x:f>
      </x:c>
      <x:c r="H43" s="41" t="str">
        <x:f>IF(A43="","",IF(AND(COUNTIFS(Components!$B$6:$B$305,"EP",Components!$C$6:$C$305,A43,Components!$D$6:$D$305,"BL",Components!$M$6:$M$305,"YES")&gt;0,COUNTIFS(Components!$B$6:$B$305,"EP",Components!$C$6:$C$305,A43,Components!$D$6:$D$305,"PJ",Components!$M$6:$M$305,"YES")&gt;0,COUNTIFS(Components!$B$6:$B$305,"EP",Components!$C$6:$C$305,A43,Components!$D$6:$D$305,"LK",Components!$M$6:$M$305,"YES")&gt;0,COUNTIFS(Components!$B$6:$B$305,"EP",Components!$C$6:$C$305,A43,Components!$M$6:$M$305,"YES",Components!$N$6:$N$305,"&lt;&gt;COMPLETE")=0),SUMIFS(Components!$I$6:$I$305,Components!$B$6:$B$305,"EP",Components!$C$6:$C$305,A43,Components!$D$6:$D$305,"LK",Components!$M$6:$M$305,"YES"),""))</x:f>
      </x:c>
      <x:c r="I43" s="41" t="str">
        <x:f>IF(COUNT(F43:H43)=3,F43-G43-H43,"")</x:f>
      </x:c>
      <x:c r="J43" s="36"/>
      <x:c r="K43" s="36"/>
      <x:c r="L43" s="41" t="str">
        <x:f>IF(COUNT(I43,K43)=2,IF(J43="DEDUCTION",IF(K43&gt;=0,I43-K43,""),IF(J43="BOUND",IF(K43&lt;=I43+Profile!$B$18,K43,""),"")),"")</x:f>
      </x:c>
      <x:c r="M43" s="36"/>
      <x:c r="N43" s="36"/>
      <x:c r="O43" s="36"/>
      <x:c r="P43" s="41" t="str">
        <x:f>IF(A43="","",IF(AND(COUNTIF($A$6:$A$55,A43)=1,B43&lt;&gt;"",C43&lt;&gt;"",D43&lt;&gt;"",E43="YES",ISNUMBER(L43),AND(O43&lt;&gt;"",OR(M43="REPORTED",AND(M43="OVV_ASSESSED",N43&lt;&gt;"")))),"CALCULATED - EP","HOLD: COMPLETE ACCOUNT"))</x:f>
      </x:c>
    </x:row>
    <x:row r="44" ht="23" customHeight="1">
      <x:c r="A44" s="38"/>
      <x:c r="B44" s="36"/>
      <x:c r="C44" s="36"/>
      <x:c r="D44" s="36"/>
      <x:c r="E44" s="36"/>
      <x:c r="F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BL",Components!$M$6:$M$305,"YES"),""))</x:f>
      </x:c>
      <x:c r="G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PJ",Components!$M$6:$M$305,"YES"),""))</x:f>
      </x:c>
      <x:c r="H44" s="41" t="str">
        <x:f>IF(A44="","",IF(AND(COUNTIFS(Components!$B$6:$B$305,"EP",Components!$C$6:$C$305,A44,Components!$D$6:$D$305,"BL",Components!$M$6:$M$305,"YES")&gt;0,COUNTIFS(Components!$B$6:$B$305,"EP",Components!$C$6:$C$305,A44,Components!$D$6:$D$305,"PJ",Components!$M$6:$M$305,"YES")&gt;0,COUNTIFS(Components!$B$6:$B$305,"EP",Components!$C$6:$C$305,A44,Components!$D$6:$D$305,"LK",Components!$M$6:$M$305,"YES")&gt;0,COUNTIFS(Components!$B$6:$B$305,"EP",Components!$C$6:$C$305,A44,Components!$M$6:$M$305,"YES",Components!$N$6:$N$305,"&lt;&gt;COMPLETE")=0),SUMIFS(Components!$I$6:$I$305,Components!$B$6:$B$305,"EP",Components!$C$6:$C$305,A44,Components!$D$6:$D$305,"LK",Components!$M$6:$M$305,"YES"),""))</x:f>
      </x:c>
      <x:c r="I44" s="41" t="str">
        <x:f>IF(COUNT(F44:H44)=3,F44-G44-H44,"")</x:f>
      </x:c>
      <x:c r="J44" s="36"/>
      <x:c r="K44" s="36"/>
      <x:c r="L44" s="41" t="str">
        <x:f>IF(COUNT(I44,K44)=2,IF(J44="DEDUCTION",IF(K44&gt;=0,I44-K44,""),IF(J44="BOUND",IF(K44&lt;=I44+Profile!$B$18,K44,""),"")),"")</x:f>
      </x:c>
      <x:c r="M44" s="36"/>
      <x:c r="N44" s="36"/>
      <x:c r="O44" s="36"/>
      <x:c r="P44" s="41" t="str">
        <x:f>IF(A44="","",IF(AND(COUNTIF($A$6:$A$55,A44)=1,B44&lt;&gt;"",C44&lt;&gt;"",D44&lt;&gt;"",E44="YES",ISNUMBER(L44),AND(O44&lt;&gt;"",OR(M44="REPORTED",AND(M44="OVV_ASSESSED",N44&lt;&gt;"")))),"CALCULATED - EP","HOLD: COMPLETE ACCOUNT"))</x:f>
      </x:c>
    </x:row>
    <x:row r="45" ht="23" customHeight="1">
      <x:c r="A45" s="38"/>
      <x:c r="B45" s="36"/>
      <x:c r="C45" s="36"/>
      <x:c r="D45" s="36"/>
      <x:c r="E45" s="36"/>
      <x:c r="F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BL",Components!$M$6:$M$305,"YES"),""))</x:f>
      </x:c>
      <x:c r="G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PJ",Components!$M$6:$M$305,"YES"),""))</x:f>
      </x:c>
      <x:c r="H45" s="41" t="str">
        <x:f>IF(A45="","",IF(AND(COUNTIFS(Components!$B$6:$B$305,"EP",Components!$C$6:$C$305,A45,Components!$D$6:$D$305,"BL",Components!$M$6:$M$305,"YES")&gt;0,COUNTIFS(Components!$B$6:$B$305,"EP",Components!$C$6:$C$305,A45,Components!$D$6:$D$305,"PJ",Components!$M$6:$M$305,"YES")&gt;0,COUNTIFS(Components!$B$6:$B$305,"EP",Components!$C$6:$C$305,A45,Components!$D$6:$D$305,"LK",Components!$M$6:$M$305,"YES")&gt;0,COUNTIFS(Components!$B$6:$B$305,"EP",Components!$C$6:$C$305,A45,Components!$M$6:$M$305,"YES",Components!$N$6:$N$305,"&lt;&gt;COMPLETE")=0),SUMIFS(Components!$I$6:$I$305,Components!$B$6:$B$305,"EP",Components!$C$6:$C$305,A45,Components!$D$6:$D$305,"LK",Components!$M$6:$M$305,"YES"),""))</x:f>
      </x:c>
      <x:c r="I45" s="41" t="str">
        <x:f>IF(COUNT(F45:H45)=3,F45-G45-H45,"")</x:f>
      </x:c>
      <x:c r="J45" s="36"/>
      <x:c r="K45" s="36"/>
      <x:c r="L45" s="41" t="str">
        <x:f>IF(COUNT(I45,K45)=2,IF(J45="DEDUCTION",IF(K45&gt;=0,I45-K45,""),IF(J45="BOUND",IF(K45&lt;=I45+Profile!$B$18,K45,""),"")),"")</x:f>
      </x:c>
      <x:c r="M45" s="36"/>
      <x:c r="N45" s="36"/>
      <x:c r="O45" s="36"/>
      <x:c r="P45" s="41" t="str">
        <x:f>IF(A45="","",IF(AND(COUNTIF($A$6:$A$55,A45)=1,B45&lt;&gt;"",C45&lt;&gt;"",D45&lt;&gt;"",E45="YES",ISNUMBER(L45),AND(O45&lt;&gt;"",OR(M45="REPORTED",AND(M45="OVV_ASSESSED",N45&lt;&gt;"")))),"CALCULATED - EP","HOLD: COMPLETE ACCOUNT"))</x:f>
      </x:c>
    </x:row>
    <x:row r="46" ht="23" customHeight="1">
      <x:c r="A46" s="38"/>
      <x:c r="B46" s="36"/>
      <x:c r="C46" s="36"/>
      <x:c r="D46" s="36"/>
      <x:c r="E46" s="36"/>
      <x:c r="F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BL",Components!$M$6:$M$305,"YES"),""))</x:f>
      </x:c>
      <x:c r="G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PJ",Components!$M$6:$M$305,"YES"),""))</x:f>
      </x:c>
      <x:c r="H46" s="41" t="str">
        <x:f>IF(A46="","",IF(AND(COUNTIFS(Components!$B$6:$B$305,"EP",Components!$C$6:$C$305,A46,Components!$D$6:$D$305,"BL",Components!$M$6:$M$305,"YES")&gt;0,COUNTIFS(Components!$B$6:$B$305,"EP",Components!$C$6:$C$305,A46,Components!$D$6:$D$305,"PJ",Components!$M$6:$M$305,"YES")&gt;0,COUNTIFS(Components!$B$6:$B$305,"EP",Components!$C$6:$C$305,A46,Components!$D$6:$D$305,"LK",Components!$M$6:$M$305,"YES")&gt;0,COUNTIFS(Components!$B$6:$B$305,"EP",Components!$C$6:$C$305,A46,Components!$M$6:$M$305,"YES",Components!$N$6:$N$305,"&lt;&gt;COMPLETE")=0),SUMIFS(Components!$I$6:$I$305,Components!$B$6:$B$305,"EP",Components!$C$6:$C$305,A46,Components!$D$6:$D$305,"LK",Components!$M$6:$M$305,"YES"),""))</x:f>
      </x:c>
      <x:c r="I46" s="41" t="str">
        <x:f>IF(COUNT(F46:H46)=3,F46-G46-H46,"")</x:f>
      </x:c>
      <x:c r="J46" s="36"/>
      <x:c r="K46" s="36"/>
      <x:c r="L46" s="41" t="str">
        <x:f>IF(COUNT(I46,K46)=2,IF(J46="DEDUCTION",IF(K46&gt;=0,I46-K46,""),IF(J46="BOUND",IF(K46&lt;=I46+Profile!$B$18,K46,""),"")),"")</x:f>
      </x:c>
      <x:c r="M46" s="36"/>
      <x:c r="N46" s="36"/>
      <x:c r="O46" s="36"/>
      <x:c r="P46" s="41" t="str">
        <x:f>IF(A46="","",IF(AND(COUNTIF($A$6:$A$55,A46)=1,B46&lt;&gt;"",C46&lt;&gt;"",D46&lt;&gt;"",E46="YES",ISNUMBER(L46),AND(O46&lt;&gt;"",OR(M46="REPORTED",AND(M46="OVV_ASSESSED",N46&lt;&gt;"")))),"CALCULATED - EP","HOLD: COMPLETE ACCOUNT"))</x:f>
      </x:c>
    </x:row>
    <x:row r="47" ht="23" customHeight="1">
      <x:c r="A47" s="38"/>
      <x:c r="B47" s="36"/>
      <x:c r="C47" s="36"/>
      <x:c r="D47" s="36"/>
      <x:c r="E47" s="36"/>
      <x:c r="F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BL",Components!$M$6:$M$305,"YES"),""))</x:f>
      </x:c>
      <x:c r="G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PJ",Components!$M$6:$M$305,"YES"),""))</x:f>
      </x:c>
      <x:c r="H47" s="41" t="str">
        <x:f>IF(A47="","",IF(AND(COUNTIFS(Components!$B$6:$B$305,"EP",Components!$C$6:$C$305,A47,Components!$D$6:$D$305,"BL",Components!$M$6:$M$305,"YES")&gt;0,COUNTIFS(Components!$B$6:$B$305,"EP",Components!$C$6:$C$305,A47,Components!$D$6:$D$305,"PJ",Components!$M$6:$M$305,"YES")&gt;0,COUNTIFS(Components!$B$6:$B$305,"EP",Components!$C$6:$C$305,A47,Components!$D$6:$D$305,"LK",Components!$M$6:$M$305,"YES")&gt;0,COUNTIFS(Components!$B$6:$B$305,"EP",Components!$C$6:$C$305,A47,Components!$M$6:$M$305,"YES",Components!$N$6:$N$305,"&lt;&gt;COMPLETE")=0),SUMIFS(Components!$I$6:$I$305,Components!$B$6:$B$305,"EP",Components!$C$6:$C$305,A47,Components!$D$6:$D$305,"LK",Components!$M$6:$M$305,"YES"),""))</x:f>
      </x:c>
      <x:c r="I47" s="41" t="str">
        <x:f>IF(COUNT(F47:H47)=3,F47-G47-H47,"")</x:f>
      </x:c>
      <x:c r="J47" s="36"/>
      <x:c r="K47" s="36"/>
      <x:c r="L47" s="41" t="str">
        <x:f>IF(COUNT(I47,K47)=2,IF(J47="DEDUCTION",IF(K47&gt;=0,I47-K47,""),IF(J47="BOUND",IF(K47&lt;=I47+Profile!$B$18,K47,""),"")),"")</x:f>
      </x:c>
      <x:c r="M47" s="36"/>
      <x:c r="N47" s="36"/>
      <x:c r="O47" s="36"/>
      <x:c r="P47" s="41" t="str">
        <x:f>IF(A47="","",IF(AND(COUNTIF($A$6:$A$55,A47)=1,B47&lt;&gt;"",C47&lt;&gt;"",D47&lt;&gt;"",E47="YES",ISNUMBER(L47),AND(O47&lt;&gt;"",OR(M47="REPORTED",AND(M47="OVV_ASSESSED",N47&lt;&gt;"")))),"CALCULATED - EP","HOLD: COMPLETE ACCOUNT"))</x:f>
      </x:c>
    </x:row>
    <x:row r="48" ht="23" customHeight="1">
      <x:c r="A48" s="38"/>
      <x:c r="B48" s="36"/>
      <x:c r="C48" s="36"/>
      <x:c r="D48" s="36"/>
      <x:c r="E48" s="36"/>
      <x:c r="F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BL",Components!$M$6:$M$305,"YES"),""))</x:f>
      </x:c>
      <x:c r="G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PJ",Components!$M$6:$M$305,"YES"),""))</x:f>
      </x:c>
      <x:c r="H48" s="41" t="str">
        <x:f>IF(A48="","",IF(AND(COUNTIFS(Components!$B$6:$B$305,"EP",Components!$C$6:$C$305,A48,Components!$D$6:$D$305,"BL",Components!$M$6:$M$305,"YES")&gt;0,COUNTIFS(Components!$B$6:$B$305,"EP",Components!$C$6:$C$305,A48,Components!$D$6:$D$305,"PJ",Components!$M$6:$M$305,"YES")&gt;0,COUNTIFS(Components!$B$6:$B$305,"EP",Components!$C$6:$C$305,A48,Components!$D$6:$D$305,"LK",Components!$M$6:$M$305,"YES")&gt;0,COUNTIFS(Components!$B$6:$B$305,"EP",Components!$C$6:$C$305,A48,Components!$M$6:$M$305,"YES",Components!$N$6:$N$305,"&lt;&gt;COMPLETE")=0),SUMIFS(Components!$I$6:$I$305,Components!$B$6:$B$305,"EP",Components!$C$6:$C$305,A48,Components!$D$6:$D$305,"LK",Components!$M$6:$M$305,"YES"),""))</x:f>
      </x:c>
      <x:c r="I48" s="41" t="str">
        <x:f>IF(COUNT(F48:H48)=3,F48-G48-H48,"")</x:f>
      </x:c>
      <x:c r="J48" s="36"/>
      <x:c r="K48" s="36"/>
      <x:c r="L48" s="41" t="str">
        <x:f>IF(COUNT(I48,K48)=2,IF(J48="DEDUCTION",IF(K48&gt;=0,I48-K48,""),IF(J48="BOUND",IF(K48&lt;=I48+Profile!$B$18,K48,""),"")),"")</x:f>
      </x:c>
      <x:c r="M48" s="36"/>
      <x:c r="N48" s="36"/>
      <x:c r="O48" s="36"/>
      <x:c r="P48" s="41" t="str">
        <x:f>IF(A48="","",IF(AND(COUNTIF($A$6:$A$55,A48)=1,B48&lt;&gt;"",C48&lt;&gt;"",D48&lt;&gt;"",E48="YES",ISNUMBER(L48),AND(O48&lt;&gt;"",OR(M48="REPORTED",AND(M48="OVV_ASSESSED",N48&lt;&gt;"")))),"CALCULATED - EP","HOLD: COMPLETE ACCOUNT"))</x:f>
      </x:c>
    </x:row>
    <x:row r="49" ht="23" customHeight="1">
      <x:c r="A49" s="38"/>
      <x:c r="B49" s="36"/>
      <x:c r="C49" s="36"/>
      <x:c r="D49" s="36"/>
      <x:c r="E49" s="36"/>
      <x:c r="F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BL",Components!$M$6:$M$305,"YES"),""))</x:f>
      </x:c>
      <x:c r="G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PJ",Components!$M$6:$M$305,"YES"),""))</x:f>
      </x:c>
      <x:c r="H49" s="41" t="str">
        <x:f>IF(A49="","",IF(AND(COUNTIFS(Components!$B$6:$B$305,"EP",Components!$C$6:$C$305,A49,Components!$D$6:$D$305,"BL",Components!$M$6:$M$305,"YES")&gt;0,COUNTIFS(Components!$B$6:$B$305,"EP",Components!$C$6:$C$305,A49,Components!$D$6:$D$305,"PJ",Components!$M$6:$M$305,"YES")&gt;0,COUNTIFS(Components!$B$6:$B$305,"EP",Components!$C$6:$C$305,A49,Components!$D$6:$D$305,"LK",Components!$M$6:$M$305,"YES")&gt;0,COUNTIFS(Components!$B$6:$B$305,"EP",Components!$C$6:$C$305,A49,Components!$M$6:$M$305,"YES",Components!$N$6:$N$305,"&lt;&gt;COMPLETE")=0),SUMIFS(Components!$I$6:$I$305,Components!$B$6:$B$305,"EP",Components!$C$6:$C$305,A49,Components!$D$6:$D$305,"LK",Components!$M$6:$M$305,"YES"),""))</x:f>
      </x:c>
      <x:c r="I49" s="41" t="str">
        <x:f>IF(COUNT(F49:H49)=3,F49-G49-H49,"")</x:f>
      </x:c>
      <x:c r="J49" s="36"/>
      <x:c r="K49" s="36"/>
      <x:c r="L49" s="41" t="str">
        <x:f>IF(COUNT(I49,K49)=2,IF(J49="DEDUCTION",IF(K49&gt;=0,I49-K49,""),IF(J49="BOUND",IF(K49&lt;=I49+Profile!$B$18,K49,""),"")),"")</x:f>
      </x:c>
      <x:c r="M49" s="36"/>
      <x:c r="N49" s="36"/>
      <x:c r="O49" s="36"/>
      <x:c r="P49" s="41" t="str">
        <x:f>IF(A49="","",IF(AND(COUNTIF($A$6:$A$55,A49)=1,B49&lt;&gt;"",C49&lt;&gt;"",D49&lt;&gt;"",E49="YES",ISNUMBER(L49),AND(O49&lt;&gt;"",OR(M49="REPORTED",AND(M49="OVV_ASSESSED",N49&lt;&gt;"")))),"CALCULATED - EP","HOLD: COMPLETE ACCOUNT"))</x:f>
      </x:c>
    </x:row>
    <x:row r="50" ht="23" customHeight="1">
      <x:c r="A50" s="38"/>
      <x:c r="B50" s="36"/>
      <x:c r="C50" s="36"/>
      <x:c r="D50" s="36"/>
      <x:c r="E50" s="36"/>
      <x:c r="F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BL",Components!$M$6:$M$305,"YES"),""))</x:f>
      </x:c>
      <x:c r="G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PJ",Components!$M$6:$M$305,"YES"),""))</x:f>
      </x:c>
      <x:c r="H50" s="41" t="str">
        <x:f>IF(A50="","",IF(AND(COUNTIFS(Components!$B$6:$B$305,"EP",Components!$C$6:$C$305,A50,Components!$D$6:$D$305,"BL",Components!$M$6:$M$305,"YES")&gt;0,COUNTIFS(Components!$B$6:$B$305,"EP",Components!$C$6:$C$305,A50,Components!$D$6:$D$305,"PJ",Components!$M$6:$M$305,"YES")&gt;0,COUNTIFS(Components!$B$6:$B$305,"EP",Components!$C$6:$C$305,A50,Components!$D$6:$D$305,"LK",Components!$M$6:$M$305,"YES")&gt;0,COUNTIFS(Components!$B$6:$B$305,"EP",Components!$C$6:$C$305,A50,Components!$M$6:$M$305,"YES",Components!$N$6:$N$305,"&lt;&gt;COMPLETE")=0),SUMIFS(Components!$I$6:$I$305,Components!$B$6:$B$305,"EP",Components!$C$6:$C$305,A50,Components!$D$6:$D$305,"LK",Components!$M$6:$M$305,"YES"),""))</x:f>
      </x:c>
      <x:c r="I50" s="41" t="str">
        <x:f>IF(COUNT(F50:H50)=3,F50-G50-H50,"")</x:f>
      </x:c>
      <x:c r="J50" s="36"/>
      <x:c r="K50" s="36"/>
      <x:c r="L50" s="41" t="str">
        <x:f>IF(COUNT(I50,K50)=2,IF(J50="DEDUCTION",IF(K50&gt;=0,I50-K50,""),IF(J50="BOUND",IF(K50&lt;=I50+Profile!$B$18,K50,""),"")),"")</x:f>
      </x:c>
      <x:c r="M50" s="36"/>
      <x:c r="N50" s="36"/>
      <x:c r="O50" s="36"/>
      <x:c r="P50" s="41" t="str">
        <x:f>IF(A50="","",IF(AND(COUNTIF($A$6:$A$55,A50)=1,B50&lt;&gt;"",C50&lt;&gt;"",D50&lt;&gt;"",E50="YES",ISNUMBER(L50),AND(O50&lt;&gt;"",OR(M50="REPORTED",AND(M50="OVV_ASSESSED",N50&lt;&gt;"")))),"CALCULATED - EP","HOLD: COMPLETE ACCOUNT"))</x:f>
      </x:c>
    </x:row>
    <x:row r="51" ht="23" customHeight="1">
      <x:c r="A51" s="38"/>
      <x:c r="B51" s="36"/>
      <x:c r="C51" s="36"/>
      <x:c r="D51" s="36"/>
      <x:c r="E51" s="36"/>
      <x:c r="F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BL",Components!$M$6:$M$305,"YES"),""))</x:f>
      </x:c>
      <x:c r="G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PJ",Components!$M$6:$M$305,"YES"),""))</x:f>
      </x:c>
      <x:c r="H51" s="41" t="str">
        <x:f>IF(A51="","",IF(AND(COUNTIFS(Components!$B$6:$B$305,"EP",Components!$C$6:$C$305,A51,Components!$D$6:$D$305,"BL",Components!$M$6:$M$305,"YES")&gt;0,COUNTIFS(Components!$B$6:$B$305,"EP",Components!$C$6:$C$305,A51,Components!$D$6:$D$305,"PJ",Components!$M$6:$M$305,"YES")&gt;0,COUNTIFS(Components!$B$6:$B$305,"EP",Components!$C$6:$C$305,A51,Components!$D$6:$D$305,"LK",Components!$M$6:$M$305,"YES")&gt;0,COUNTIFS(Components!$B$6:$B$305,"EP",Components!$C$6:$C$305,A51,Components!$M$6:$M$305,"YES",Components!$N$6:$N$305,"&lt;&gt;COMPLETE")=0),SUMIFS(Components!$I$6:$I$305,Components!$B$6:$B$305,"EP",Components!$C$6:$C$305,A51,Components!$D$6:$D$305,"LK",Components!$M$6:$M$305,"YES"),""))</x:f>
      </x:c>
      <x:c r="I51" s="41" t="str">
        <x:f>IF(COUNT(F51:H51)=3,F51-G51-H51,"")</x:f>
      </x:c>
      <x:c r="J51" s="36"/>
      <x:c r="K51" s="36"/>
      <x:c r="L51" s="41" t="str">
        <x:f>IF(COUNT(I51,K51)=2,IF(J51="DEDUCTION",IF(K51&gt;=0,I51-K51,""),IF(J51="BOUND",IF(K51&lt;=I51+Profile!$B$18,K51,""),"")),"")</x:f>
      </x:c>
      <x:c r="M51" s="36"/>
      <x:c r="N51" s="36"/>
      <x:c r="O51" s="36"/>
      <x:c r="P51" s="41" t="str">
        <x:f>IF(A51="","",IF(AND(COUNTIF($A$6:$A$55,A51)=1,B51&lt;&gt;"",C51&lt;&gt;"",D51&lt;&gt;"",E51="YES",ISNUMBER(L51),AND(O51&lt;&gt;"",OR(M51="REPORTED",AND(M51="OVV_ASSESSED",N51&lt;&gt;"")))),"CALCULATED - EP","HOLD: COMPLETE ACCOUNT"))</x:f>
      </x:c>
    </x:row>
    <x:row r="52" ht="23" customHeight="1">
      <x:c r="A52" s="38"/>
      <x:c r="B52" s="36"/>
      <x:c r="C52" s="36"/>
      <x:c r="D52" s="36"/>
      <x:c r="E52" s="36"/>
      <x:c r="F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BL",Components!$M$6:$M$305,"YES"),""))</x:f>
      </x:c>
      <x:c r="G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PJ",Components!$M$6:$M$305,"YES"),""))</x:f>
      </x:c>
      <x:c r="H52" s="41" t="str">
        <x:f>IF(A52="","",IF(AND(COUNTIFS(Components!$B$6:$B$305,"EP",Components!$C$6:$C$305,A52,Components!$D$6:$D$305,"BL",Components!$M$6:$M$305,"YES")&gt;0,COUNTIFS(Components!$B$6:$B$305,"EP",Components!$C$6:$C$305,A52,Components!$D$6:$D$305,"PJ",Components!$M$6:$M$305,"YES")&gt;0,COUNTIFS(Components!$B$6:$B$305,"EP",Components!$C$6:$C$305,A52,Components!$D$6:$D$305,"LK",Components!$M$6:$M$305,"YES")&gt;0,COUNTIFS(Components!$B$6:$B$305,"EP",Components!$C$6:$C$305,A52,Components!$M$6:$M$305,"YES",Components!$N$6:$N$305,"&lt;&gt;COMPLETE")=0),SUMIFS(Components!$I$6:$I$305,Components!$B$6:$B$305,"EP",Components!$C$6:$C$305,A52,Components!$D$6:$D$305,"LK",Components!$M$6:$M$305,"YES"),""))</x:f>
      </x:c>
      <x:c r="I52" s="41" t="str">
        <x:f>IF(COUNT(F52:H52)=3,F52-G52-H52,"")</x:f>
      </x:c>
      <x:c r="J52" s="36"/>
      <x:c r="K52" s="36"/>
      <x:c r="L52" s="41" t="str">
        <x:f>IF(COUNT(I52,K52)=2,IF(J52="DEDUCTION",IF(K52&gt;=0,I52-K52,""),IF(J52="BOUND",IF(K52&lt;=I52+Profile!$B$18,K52,""),"")),"")</x:f>
      </x:c>
      <x:c r="M52" s="36"/>
      <x:c r="N52" s="36"/>
      <x:c r="O52" s="36"/>
      <x:c r="P52" s="41" t="str">
        <x:f>IF(A52="","",IF(AND(COUNTIF($A$6:$A$55,A52)=1,B52&lt;&gt;"",C52&lt;&gt;"",D52&lt;&gt;"",E52="YES",ISNUMBER(L52),AND(O52&lt;&gt;"",OR(M52="REPORTED",AND(M52="OVV_ASSESSED",N52&lt;&gt;"")))),"CALCULATED - EP","HOLD: COMPLETE ACCOUNT"))</x:f>
      </x:c>
    </x:row>
    <x:row r="53" ht="23" customHeight="1">
      <x:c r="A53" s="38"/>
      <x:c r="B53" s="36"/>
      <x:c r="C53" s="36"/>
      <x:c r="D53" s="36"/>
      <x:c r="E53" s="36"/>
      <x:c r="F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BL",Components!$M$6:$M$305,"YES"),""))</x:f>
      </x:c>
      <x:c r="G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PJ",Components!$M$6:$M$305,"YES"),""))</x:f>
      </x:c>
      <x:c r="H53" s="41" t="str">
        <x:f>IF(A53="","",IF(AND(COUNTIFS(Components!$B$6:$B$305,"EP",Components!$C$6:$C$305,A53,Components!$D$6:$D$305,"BL",Components!$M$6:$M$305,"YES")&gt;0,COUNTIFS(Components!$B$6:$B$305,"EP",Components!$C$6:$C$305,A53,Components!$D$6:$D$305,"PJ",Components!$M$6:$M$305,"YES")&gt;0,COUNTIFS(Components!$B$6:$B$305,"EP",Components!$C$6:$C$305,A53,Components!$D$6:$D$305,"LK",Components!$M$6:$M$305,"YES")&gt;0,COUNTIFS(Components!$B$6:$B$305,"EP",Components!$C$6:$C$305,A53,Components!$M$6:$M$305,"YES",Components!$N$6:$N$305,"&lt;&gt;COMPLETE")=0),SUMIFS(Components!$I$6:$I$305,Components!$B$6:$B$305,"EP",Components!$C$6:$C$305,A53,Components!$D$6:$D$305,"LK",Components!$M$6:$M$305,"YES"),""))</x:f>
      </x:c>
      <x:c r="I53" s="41" t="str">
        <x:f>IF(COUNT(F53:H53)=3,F53-G53-H53,"")</x:f>
      </x:c>
      <x:c r="J53" s="36"/>
      <x:c r="K53" s="36"/>
      <x:c r="L53" s="41" t="str">
        <x:f>IF(COUNT(I53,K53)=2,IF(J53="DEDUCTION",IF(K53&gt;=0,I53-K53,""),IF(J53="BOUND",IF(K53&lt;=I53+Profile!$B$18,K53,""),"")),"")</x:f>
      </x:c>
      <x:c r="M53" s="36"/>
      <x:c r="N53" s="36"/>
      <x:c r="O53" s="36"/>
      <x:c r="P53" s="41" t="str">
        <x:f>IF(A53="","",IF(AND(COUNTIF($A$6:$A$55,A53)=1,B53&lt;&gt;"",C53&lt;&gt;"",D53&lt;&gt;"",E53="YES",ISNUMBER(L53),AND(O53&lt;&gt;"",OR(M53="REPORTED",AND(M53="OVV_ASSESSED",N53&lt;&gt;"")))),"CALCULATED - EP","HOLD: COMPLETE ACCOUNT"))</x:f>
      </x:c>
    </x:row>
    <x:row r="54" ht="23" customHeight="1">
      <x:c r="A54" s="38"/>
      <x:c r="B54" s="36"/>
      <x:c r="C54" s="36"/>
      <x:c r="D54" s="36"/>
      <x:c r="E54" s="36"/>
      <x:c r="F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BL",Components!$M$6:$M$305,"YES"),""))</x:f>
      </x:c>
      <x:c r="G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PJ",Components!$M$6:$M$305,"YES"),""))</x:f>
      </x:c>
      <x:c r="H54" s="41" t="str">
        <x:f>IF(A54="","",IF(AND(COUNTIFS(Components!$B$6:$B$305,"EP",Components!$C$6:$C$305,A54,Components!$D$6:$D$305,"BL",Components!$M$6:$M$305,"YES")&gt;0,COUNTIFS(Components!$B$6:$B$305,"EP",Components!$C$6:$C$305,A54,Components!$D$6:$D$305,"PJ",Components!$M$6:$M$305,"YES")&gt;0,COUNTIFS(Components!$B$6:$B$305,"EP",Components!$C$6:$C$305,A54,Components!$D$6:$D$305,"LK",Components!$M$6:$M$305,"YES")&gt;0,COUNTIFS(Components!$B$6:$B$305,"EP",Components!$C$6:$C$305,A54,Components!$M$6:$M$305,"YES",Components!$N$6:$N$305,"&lt;&gt;COMPLETE")=0),SUMIFS(Components!$I$6:$I$305,Components!$B$6:$B$305,"EP",Components!$C$6:$C$305,A54,Components!$D$6:$D$305,"LK",Components!$M$6:$M$305,"YES"),""))</x:f>
      </x:c>
      <x:c r="I54" s="41" t="str">
        <x:f>IF(COUNT(F54:H54)=3,F54-G54-H54,"")</x:f>
      </x:c>
      <x:c r="J54" s="36"/>
      <x:c r="K54" s="36"/>
      <x:c r="L54" s="41" t="str">
        <x:f>IF(COUNT(I54,K54)=2,IF(J54="DEDUCTION",IF(K54&gt;=0,I54-K54,""),IF(J54="BOUND",IF(K54&lt;=I54+Profile!$B$18,K54,""),"")),"")</x:f>
      </x:c>
      <x:c r="M54" s="36"/>
      <x:c r="N54" s="36"/>
      <x:c r="O54" s="36"/>
      <x:c r="P54" s="41" t="str">
        <x:f>IF(A54="","",IF(AND(COUNTIF($A$6:$A$55,A54)=1,B54&lt;&gt;"",C54&lt;&gt;"",D54&lt;&gt;"",E54="YES",ISNUMBER(L54),AND(O54&lt;&gt;"",OR(M54="REPORTED",AND(M54="OVV_ASSESSED",N54&lt;&gt;"")))),"CALCULATED - EP","HOLD: COMPLETE ACCOUNT"))</x:f>
      </x:c>
    </x:row>
    <x:row r="55" ht="23" customHeight="1">
      <x:c r="A55" s="38"/>
      <x:c r="B55" s="36"/>
      <x:c r="C55" s="36"/>
      <x:c r="D55" s="36"/>
      <x:c r="E55" s="36"/>
      <x:c r="F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BL",Components!$M$6:$M$305,"YES"),""))</x:f>
      </x:c>
      <x:c r="G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PJ",Components!$M$6:$M$305,"YES"),""))</x:f>
      </x:c>
      <x:c r="H55" s="41" t="str">
        <x:f>IF(A55="","",IF(AND(COUNTIFS(Components!$B$6:$B$305,"EP",Components!$C$6:$C$305,A55,Components!$D$6:$D$305,"BL",Components!$M$6:$M$305,"YES")&gt;0,COUNTIFS(Components!$B$6:$B$305,"EP",Components!$C$6:$C$305,A55,Components!$D$6:$D$305,"PJ",Components!$M$6:$M$305,"YES")&gt;0,COUNTIFS(Components!$B$6:$B$305,"EP",Components!$C$6:$C$305,A55,Components!$D$6:$D$305,"LK",Components!$M$6:$M$305,"YES")&gt;0,COUNTIFS(Components!$B$6:$B$305,"EP",Components!$C$6:$C$305,A55,Components!$M$6:$M$305,"YES",Components!$N$6:$N$305,"&lt;&gt;COMPLETE")=0),SUMIFS(Components!$I$6:$I$305,Components!$B$6:$B$305,"EP",Components!$C$6:$C$305,A55,Components!$D$6:$D$305,"LK",Components!$M$6:$M$305,"YES"),""))</x:f>
      </x:c>
      <x:c r="I55" s="41" t="str">
        <x:f>IF(COUNT(F55:H55)=3,F55-G55-H55,"")</x:f>
      </x:c>
      <x:c r="J55" s="36"/>
      <x:c r="K55" s="36"/>
      <x:c r="L55" s="41" t="str">
        <x:f>IF(COUNT(I55,K55)=2,IF(J55="DEDUCTION",IF(K55&gt;=0,I55-K55,""),IF(J55="BOUND",IF(K55&lt;=I55+Profile!$B$18,K55,""),"")),"")</x:f>
      </x:c>
      <x:c r="M55" s="36"/>
      <x:c r="N55" s="36"/>
      <x:c r="O55" s="36"/>
      <x:c r="P55" s="41" t="str">
        <x:f>IF(A55="","",IF(AND(COUNTIF($A$6:$A$55,A55)=1,B55&lt;&gt;"",C55&lt;&gt;"",D55&lt;&gt;"",E55="YES",ISNUMBER(L55),AND(O55&lt;&gt;"",OR(M55="REPORTED",AND(M55="OVV_ASSESSED",N55&lt;&gt;"")))),"CALCULATED - EP","HOLD: COMPLETE ACCOUNT"))</x:f>
      </x:c>
    </x:row>
  </x:sheetData>
  <x:mergeCells>
    <x:mergeCell ref="A1:P2"/>
    <x:mergeCell ref="A3:P4"/>
  </x:mergeCells>
  <x:conditionalFormatting sqref="P6:P55">
    <x:cfRule type="expression" dxfId="4" priority="1">
      <x:formula>LEFT(P6,4)="HOLD"</x:formula>
    </x:cfRule>
  </x:conditionalFormatting>
  <x:dataValidations count="3">
    <x:dataValidation type="list" sqref="E6:E55">
      <x:formula1>"YES,NO"</x:formula1>
    </x:dataValidation>
    <x:dataValidation type="list" sqref="J6:J55">
      <x:formula1>"DEDUCTION,BOUND"</x:formula1>
    </x:dataValidation>
    <x:dataValidation type="list" sqref="M6:M55">
      <x:formula1>"REPORTED,OVV_ASSESSED"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ht="23" customHeight="1">
      <x:c r="A1" s="21" t="str">
        <x:v>Settlement and reserve allocation</x:v>
      </x:c>
      <x:c r="B1" s="21"/>
      <x:c r="C1" s="21"/>
      <x:c r="D1" s="21"/>
      <x:c r="E1" s="21"/>
      <x:c r="F1" s="21"/>
      <x:c r="G1" s="21"/>
      <x:c r="H1" s="21"/>
      <x:c r="I1" s="21"/>
      <x:c r="J1" s="21"/>
      <x:c r="K1" s="21"/>
      <x:c r="L1" s="21"/>
      <x:c r="M1" s="21"/>
    </x:row>
    <x:row r="2" ht="23" customHeight="1">
      <x:c r="A2" s="21"/>
      <x:c r="B2" s="21"/>
      <x:c r="C2" s="21"/>
      <x:c r="D2" s="21"/>
      <x:c r="E2" s="21"/>
      <x:c r="F2" s="21"/>
      <x:c r="G2" s="21"/>
      <x:c r="H2" s="21"/>
      <x:c r="I2" s="21"/>
      <x:c r="J2" s="21"/>
      <x:c r="K2" s="21"/>
      <x:c r="L2" s="21"/>
      <x:c r="M2" s="21"/>
    </x:row>
    <x:row r="3" ht="23" customHeight="1">
      <x:c r="A3" s="25" t="str">
        <x:v>Candidate allocations never execute settlement. G is a separate evidenced posting. An unfunded reserve requirement is not funded protection; reconcile FRM-09. An excessive reserve produces a shortfall, not a capped reserve.</x:v>
      </x:c>
      <x:c r="B3" s="25"/>
      <x:c r="C3" s="25"/>
      <x:c r="D3" s="25"/>
      <x:c r="E3" s="25"/>
      <x:c r="F3" s="25"/>
      <x:c r="G3" s="25"/>
      <x:c r="H3" s="25"/>
      <x:c r="I3" s="25"/>
      <x:c r="J3" s="25"/>
      <x:c r="K3" s="25"/>
      <x:c r="L3" s="25"/>
      <x:c r="M3" s="25"/>
    </x:row>
    <x:row r="4" ht="23" customHeight="1">
      <x:c r="A4" s="25"/>
      <x:c r="B4" s="25"/>
      <x:c r="C4" s="25"/>
      <x:c r="D4" s="25"/>
      <x:c r="E4" s="25"/>
      <x:c r="F4" s="25"/>
      <x:c r="G4" s="25"/>
      <x:c r="H4" s="25"/>
      <x:c r="I4" s="25"/>
      <x:c r="J4" s="25"/>
      <x:c r="K4" s="25"/>
      <x:c r="L4" s="25"/>
      <x:c r="M4" s="25"/>
    </x:row>
    <x:row r="5" ht="80" customHeight="1">
      <x:c r="A5" s="29" t="str">
        <x:v>Period key</x:v>
      </x:c>
      <x:c r="B5" s="29" t="str">
        <x:v>Q_low
Q_low,t
[t CO2e]</x:v>
      </x:c>
      <x:c r="C5" s="29" t="str">
        <x:v>Opening liability D
D_t
[t CO2e]</x:v>
      </x:c>
      <x:c r="D5" s="29" t="str">
        <x:v>Opening ledger evidence</x:v>
      </x:c>
      <x:c r="E5" s="29" t="str">
        <x:v>Eligible mass
Q_eligible,t
[t CO2e]</x:v>
      </x:c>
      <x:c r="F5" s="29" t="str">
        <x:v>Candidate settlement
D_cand,t
[t CO2e]</x:v>
      </x:c>
      <x:c r="G5" s="29" t="str">
        <x:v>Executed settlement
D_set,t [executed]
[t CO2e]</x:v>
      </x:c>
      <x:c r="H5" s="29" t="str">
        <x:v>Execution evidence</x:v>
      </x:c>
      <x:c r="I5" s="29" t="str">
        <x:v>Remaining liability
D_rem,t
[t CO2e]</x:v>
      </x:c>
      <x:c r="J5" s="29" t="str">
        <x:v>Required new reserve
B_t [new required]
[t CO2e]</x:v>
      </x:c>
      <x:c r="K5" s="29" t="str">
        <x:v>Candidate reserve base
Q_base,cand,t
[t CO2e]</x:v>
      </x:c>
      <x:c r="L5" s="29" t="str">
        <x:v>Candidate available mass J
J_cand,t
[t CO2e]</x:v>
      </x:c>
      <x:c r="M5" s="29" t="str">
        <x:v>Check</x:v>
      </x:c>
      <x:c r="N5"/>
      <x:c r="O5"/>
      <x:c r="P5"/>
    </x:row>
    <x:row r="6" ht="23" customHeight="1">
      <x:c r="A6" s="38"/>
      <x:c r="B6" s="41" t="str">
        <x:f>IF(COUNTIF(ExPost!$A$6:$A$55,A6)=1,IF(ISNUMBER(INDEX(ExPost!$L$6:$L$55,MATCH(A6,ExPost!$A$6:$A$55,0))),INDEX(ExPost!$L$6:$L$55,MATCH(A6,ExPost!$A$6:$A$55,0)),""),"")</x:f>
      </x:c>
      <x:c r="C6" s="36"/>
      <x:c r="D6" s="36"/>
      <x:c r="E6" s="41" t="str">
        <x:f>IF(ISNUMBER(B6),MAX(0,B6),"")</x:f>
      </x:c>
      <x:c r="F6" s="41" t="str">
        <x:f>IF(COUNT(C6,E6)=2,IF(C6&gt;=0,MIN(C6,E6),""),"")</x:f>
      </x:c>
      <x:c r="G6" s="36"/>
      <x:c r="H6" s="36"/>
      <x:c r="I6" s="41" t="str">
        <x:f>IF(COUNT(C6,F6,G6)=3,IF(AND(G6&gt;=0,G6&lt;=F6,OR(G6=0,H6&lt;&gt;"")),C6-G6,""),"")</x:f>
      </x:c>
      <x:c r="J6" s="36"/>
      <x:c r="K6" s="41" t="str">
        <x:f>IF(COUNT(E6:F6)=2,E6-F6,"")</x:f>
      </x:c>
      <x:c r="L6" s="41" t="str">
        <x:f>IF(COUNT(J6:K6)=2,IF(J6&gt;=0,K6-J6,""),"")</x:f>
      </x:c>
      <x:c r="M6" s="41" t="str">
        <x:f>IF(A6="","",IF(AND(COUNTIF($A$6:$A$55,A6)=1,D6&lt;&gt;"",ISNUMBER(I6),ISNUMBER(L6),L6&gt;=0),"CANDIDATE - NO AUTHORIZATION","HOLD: LEDGER / SHORTFALL"))</x:f>
      </x:c>
    </x:row>
    <x:row r="7" ht="23" customHeight="1">
      <x:c r="A7" s="38"/>
      <x:c r="B7" s="41" t="str">
        <x:f>IF(COUNTIF(ExPost!$A$6:$A$55,A7)=1,IF(ISNUMBER(INDEX(ExPost!$L$6:$L$55,MATCH(A7,ExPost!$A$6:$A$55,0))),INDEX(ExPost!$L$6:$L$55,MATCH(A7,ExPost!$A$6:$A$55,0)),""),"")</x:f>
      </x:c>
      <x:c r="C7" s="36"/>
      <x:c r="D7" s="36"/>
      <x:c r="E7" s="41" t="str">
        <x:f>IF(ISNUMBER(B7),MAX(0,B7),"")</x:f>
      </x:c>
      <x:c r="F7" s="41" t="str">
        <x:f>IF(COUNT(C7,E7)=2,IF(C7&gt;=0,MIN(C7,E7),""),"")</x:f>
      </x:c>
      <x:c r="G7" s="36"/>
      <x:c r="H7" s="36"/>
      <x:c r="I7" s="41" t="str">
        <x:f>IF(COUNT(C7,F7,G7)=3,IF(AND(G7&gt;=0,G7&lt;=F7,OR(G7=0,H7&lt;&gt;"")),C7-G7,""),"")</x:f>
      </x:c>
      <x:c r="J7" s="36"/>
      <x:c r="K7" s="41" t="str">
        <x:f>IF(COUNT(E7:F7)=2,E7-F7,"")</x:f>
      </x:c>
      <x:c r="L7" s="41" t="str">
        <x:f>IF(COUNT(J7:K7)=2,IF(J7&gt;=0,K7-J7,""),"")</x:f>
      </x:c>
      <x:c r="M7" s="41" t="str">
        <x:f>IF(A7="","",IF(AND(COUNTIF($A$6:$A$55,A7)=1,D7&lt;&gt;"",ISNUMBER(I7),ISNUMBER(L7),L7&gt;=0),"CANDIDATE - NO AUTHORIZATION","HOLD: LEDGER / SHORTFALL"))</x:f>
      </x:c>
    </x:row>
    <x:row r="8" ht="23" customHeight="1">
      <x:c r="A8" s="38"/>
      <x:c r="B8" s="41" t="str">
        <x:f>IF(COUNTIF(ExPost!$A$6:$A$55,A8)=1,IF(ISNUMBER(INDEX(ExPost!$L$6:$L$55,MATCH(A8,ExPost!$A$6:$A$55,0))),INDEX(ExPost!$L$6:$L$55,MATCH(A8,ExPost!$A$6:$A$55,0)),""),"")</x:f>
      </x:c>
      <x:c r="C8" s="36"/>
      <x:c r="D8" s="36"/>
      <x:c r="E8" s="41" t="str">
        <x:f>IF(ISNUMBER(B8),MAX(0,B8),"")</x:f>
      </x:c>
      <x:c r="F8" s="41" t="str">
        <x:f>IF(COUNT(C8,E8)=2,IF(C8&gt;=0,MIN(C8,E8),""),"")</x:f>
      </x:c>
      <x:c r="G8" s="36"/>
      <x:c r="H8" s="36"/>
      <x:c r="I8" s="41" t="str">
        <x:f>IF(COUNT(C8,F8,G8)=3,IF(AND(G8&gt;=0,G8&lt;=F8,OR(G8=0,H8&lt;&gt;"")),C8-G8,""),"")</x:f>
      </x:c>
      <x:c r="J8" s="36"/>
      <x:c r="K8" s="41" t="str">
        <x:f>IF(COUNT(E8:F8)=2,E8-F8,"")</x:f>
      </x:c>
      <x:c r="L8" s="41" t="str">
        <x:f>IF(COUNT(J8:K8)=2,IF(J8&gt;=0,K8-J8,""),"")</x:f>
      </x:c>
      <x:c r="M8" s="41" t="str">
        <x:f>IF(A8="","",IF(AND(COUNTIF($A$6:$A$55,A8)=1,D8&lt;&gt;"",ISNUMBER(I8),ISNUMBER(L8),L8&gt;=0),"CANDIDATE - NO AUTHORIZATION","HOLD: LEDGER / SHORTFALL"))</x:f>
      </x:c>
    </x:row>
    <x:row r="9" ht="23" customHeight="1">
      <x:c r="A9" s="38"/>
      <x:c r="B9" s="41" t="str">
        <x:f>IF(COUNTIF(ExPost!$A$6:$A$55,A9)=1,IF(ISNUMBER(INDEX(ExPost!$L$6:$L$55,MATCH(A9,ExPost!$A$6:$A$55,0))),INDEX(ExPost!$L$6:$L$55,MATCH(A9,ExPost!$A$6:$A$55,0)),""),"")</x:f>
      </x:c>
      <x:c r="C9" s="36"/>
      <x:c r="D9" s="36"/>
      <x:c r="E9" s="41" t="str">
        <x:f>IF(ISNUMBER(B9),MAX(0,B9),"")</x:f>
      </x:c>
      <x:c r="F9" s="41" t="str">
        <x:f>IF(COUNT(C9,E9)=2,IF(C9&gt;=0,MIN(C9,E9),""),"")</x:f>
      </x:c>
      <x:c r="G9" s="36"/>
      <x:c r="H9" s="36"/>
      <x:c r="I9" s="41" t="str">
        <x:f>IF(COUNT(C9,F9,G9)=3,IF(AND(G9&gt;=0,G9&lt;=F9,OR(G9=0,H9&lt;&gt;"")),C9-G9,""),"")</x:f>
      </x:c>
      <x:c r="J9" s="36"/>
      <x:c r="K9" s="41" t="str">
        <x:f>IF(COUNT(E9:F9)=2,E9-F9,"")</x:f>
      </x:c>
      <x:c r="L9" s="41" t="str">
        <x:f>IF(COUNT(J9:K9)=2,IF(J9&gt;=0,K9-J9,""),"")</x:f>
      </x:c>
      <x:c r="M9" s="41" t="str">
        <x:f>IF(A9="","",IF(AND(COUNTIF($A$6:$A$55,A9)=1,D9&lt;&gt;"",ISNUMBER(I9),ISNUMBER(L9),L9&gt;=0),"CANDIDATE - NO AUTHORIZATION","HOLD: LEDGER / SHORTFALL"))</x:f>
      </x:c>
    </x:row>
    <x:row r="10" ht="23" customHeight="1">
      <x:c r="A10" s="38"/>
      <x:c r="B10" s="41" t="str">
        <x:f>IF(COUNTIF(ExPost!$A$6:$A$55,A10)=1,IF(ISNUMBER(INDEX(ExPost!$L$6:$L$55,MATCH(A10,ExPost!$A$6:$A$55,0))),INDEX(ExPost!$L$6:$L$55,MATCH(A10,ExPost!$A$6:$A$55,0)),""),"")</x:f>
      </x:c>
      <x:c r="C10" s="36"/>
      <x:c r="D10" s="36"/>
      <x:c r="E10" s="41" t="str">
        <x:f>IF(ISNUMBER(B10),MAX(0,B10),"")</x:f>
      </x:c>
      <x:c r="F10" s="41" t="str">
        <x:f>IF(COUNT(C10,E10)=2,IF(C10&gt;=0,MIN(C10,E10),""),"")</x:f>
      </x:c>
      <x:c r="G10" s="36"/>
      <x:c r="H10" s="36"/>
      <x:c r="I10" s="41" t="str">
        <x:f>IF(COUNT(C10,F10,G10)=3,IF(AND(G10&gt;=0,G10&lt;=F10,OR(G10=0,H10&lt;&gt;"")),C10-G10,""),"")</x:f>
      </x:c>
      <x:c r="J10" s="36"/>
      <x:c r="K10" s="41" t="str">
        <x:f>IF(COUNT(E10:F10)=2,E10-F10,"")</x:f>
      </x:c>
      <x:c r="L10" s="41" t="str">
        <x:f>IF(COUNT(J10:K10)=2,IF(J10&gt;=0,K10-J10,""),"")</x:f>
      </x:c>
      <x:c r="M10" s="41" t="str">
        <x:f>IF(A10="","",IF(AND(COUNTIF($A$6:$A$55,A10)=1,D10&lt;&gt;"",ISNUMBER(I10),ISNUMBER(L10),L10&gt;=0),"CANDIDATE - NO AUTHORIZATION","HOLD: LEDGER / SHORTFALL"))</x:f>
      </x:c>
    </x:row>
    <x:row r="11" ht="23" customHeight="1">
      <x:c r="A11" s="38"/>
      <x:c r="B11" s="41" t="str">
        <x:f>IF(COUNTIF(ExPost!$A$6:$A$55,A11)=1,IF(ISNUMBER(INDEX(ExPost!$L$6:$L$55,MATCH(A11,ExPost!$A$6:$A$55,0))),INDEX(ExPost!$L$6:$L$55,MATCH(A11,ExPost!$A$6:$A$55,0)),""),"")</x:f>
      </x:c>
      <x:c r="C11" s="36"/>
      <x:c r="D11" s="36"/>
      <x:c r="E11" s="41" t="str">
        <x:f>IF(ISNUMBER(B11),MAX(0,B11),"")</x:f>
      </x:c>
      <x:c r="F11" s="41" t="str">
        <x:f>IF(COUNT(C11,E11)=2,IF(C11&gt;=0,MIN(C11,E11),""),"")</x:f>
      </x:c>
      <x:c r="G11" s="36"/>
      <x:c r="H11" s="36"/>
      <x:c r="I11" s="41" t="str">
        <x:f>IF(COUNT(C11,F11,G11)=3,IF(AND(G11&gt;=0,G11&lt;=F11,OR(G11=0,H11&lt;&gt;"")),C11-G11,""),"")</x:f>
      </x:c>
      <x:c r="J11" s="36"/>
      <x:c r="K11" s="41" t="str">
        <x:f>IF(COUNT(E11:F11)=2,E11-F11,"")</x:f>
      </x:c>
      <x:c r="L11" s="41" t="str">
        <x:f>IF(COUNT(J11:K11)=2,IF(J11&gt;=0,K11-J11,""),"")</x:f>
      </x:c>
      <x:c r="M11" s="41" t="str">
        <x:f>IF(A11="","",IF(AND(COUNTIF($A$6:$A$55,A11)=1,D11&lt;&gt;"",ISNUMBER(I11),ISNUMBER(L11),L11&gt;=0),"CANDIDATE - NO AUTHORIZATION","HOLD: LEDGER / SHORTFALL"))</x:f>
      </x:c>
    </x:row>
    <x:row r="12" ht="23" customHeight="1">
      <x:c r="A12" s="38"/>
      <x:c r="B12" s="41" t="str">
        <x:f>IF(COUNTIF(ExPost!$A$6:$A$55,A12)=1,IF(ISNUMBER(INDEX(ExPost!$L$6:$L$55,MATCH(A12,ExPost!$A$6:$A$55,0))),INDEX(ExPost!$L$6:$L$55,MATCH(A12,ExPost!$A$6:$A$55,0)),""),"")</x:f>
      </x:c>
      <x:c r="C12" s="36"/>
      <x:c r="D12" s="36"/>
      <x:c r="E12" s="41" t="str">
        <x:f>IF(ISNUMBER(B12),MAX(0,B12),"")</x:f>
      </x:c>
      <x:c r="F12" s="41" t="str">
        <x:f>IF(COUNT(C12,E12)=2,IF(C12&gt;=0,MIN(C12,E12),""),"")</x:f>
      </x:c>
      <x:c r="G12" s="36"/>
      <x:c r="H12" s="36"/>
      <x:c r="I12" s="41" t="str">
        <x:f>IF(COUNT(C12,F12,G12)=3,IF(AND(G12&gt;=0,G12&lt;=F12,OR(G12=0,H12&lt;&gt;"")),C12-G12,""),"")</x:f>
      </x:c>
      <x:c r="J12" s="36"/>
      <x:c r="K12" s="41" t="str">
        <x:f>IF(COUNT(E12:F12)=2,E12-F12,"")</x:f>
      </x:c>
      <x:c r="L12" s="41" t="str">
        <x:f>IF(COUNT(J12:K12)=2,IF(J12&gt;=0,K12-J12,""),"")</x:f>
      </x:c>
      <x:c r="M12" s="41" t="str">
        <x:f>IF(A12="","",IF(AND(COUNTIF($A$6:$A$55,A12)=1,D12&lt;&gt;"",ISNUMBER(I12),ISNUMBER(L12),L12&gt;=0),"CANDIDATE - NO AUTHORIZATION","HOLD: LEDGER / SHORTFALL"))</x:f>
      </x:c>
    </x:row>
    <x:row r="13" ht="23" customHeight="1">
      <x:c r="A13" s="38"/>
      <x:c r="B13" s="41" t="str">
        <x:f>IF(COUNTIF(ExPost!$A$6:$A$55,A13)=1,IF(ISNUMBER(INDEX(ExPost!$L$6:$L$55,MATCH(A13,ExPost!$A$6:$A$55,0))),INDEX(ExPost!$L$6:$L$55,MATCH(A13,ExPost!$A$6:$A$55,0)),""),"")</x:f>
      </x:c>
      <x:c r="C13" s="36"/>
      <x:c r="D13" s="36"/>
      <x:c r="E13" s="41" t="str">
        <x:f>IF(ISNUMBER(B13),MAX(0,B13),"")</x:f>
      </x:c>
      <x:c r="F13" s="41" t="str">
        <x:f>IF(COUNT(C13,E13)=2,IF(C13&gt;=0,MIN(C13,E13),""),"")</x:f>
      </x:c>
      <x:c r="G13" s="36"/>
      <x:c r="H13" s="36"/>
      <x:c r="I13" s="41" t="str">
        <x:f>IF(COUNT(C13,F13,G13)=3,IF(AND(G13&gt;=0,G13&lt;=F13,OR(G13=0,H13&lt;&gt;"")),C13-G13,""),"")</x:f>
      </x:c>
      <x:c r="J13" s="36"/>
      <x:c r="K13" s="41" t="str">
        <x:f>IF(COUNT(E13:F13)=2,E13-F13,"")</x:f>
      </x:c>
      <x:c r="L13" s="41" t="str">
        <x:f>IF(COUNT(J13:K13)=2,IF(J13&gt;=0,K13-J13,""),"")</x:f>
      </x:c>
      <x:c r="M13" s="41" t="str">
        <x:f>IF(A13="","",IF(AND(COUNTIF($A$6:$A$55,A13)=1,D13&lt;&gt;"",ISNUMBER(I13),ISNUMBER(L13),L13&gt;=0),"CANDIDATE - NO AUTHORIZATION","HOLD: LEDGER / SHORTFALL"))</x:f>
      </x:c>
    </x:row>
    <x:row r="14" ht="23" customHeight="1">
      <x:c r="A14" s="38"/>
      <x:c r="B14" s="41" t="str">
        <x:f>IF(COUNTIF(ExPost!$A$6:$A$55,A14)=1,IF(ISNUMBER(INDEX(ExPost!$L$6:$L$55,MATCH(A14,ExPost!$A$6:$A$55,0))),INDEX(ExPost!$L$6:$L$55,MATCH(A14,ExPost!$A$6:$A$55,0)),""),"")</x:f>
      </x:c>
      <x:c r="C14" s="36"/>
      <x:c r="D14" s="36"/>
      <x:c r="E14" s="41" t="str">
        <x:f>IF(ISNUMBER(B14),MAX(0,B14),"")</x:f>
      </x:c>
      <x:c r="F14" s="41" t="str">
        <x:f>IF(COUNT(C14,E14)=2,IF(C14&gt;=0,MIN(C14,E14),""),"")</x:f>
      </x:c>
      <x:c r="G14" s="36"/>
      <x:c r="H14" s="36"/>
      <x:c r="I14" s="41" t="str">
        <x:f>IF(COUNT(C14,F14,G14)=3,IF(AND(G14&gt;=0,G14&lt;=F14,OR(G14=0,H14&lt;&gt;"")),C14-G14,""),"")</x:f>
      </x:c>
      <x:c r="J14" s="36"/>
      <x:c r="K14" s="41" t="str">
        <x:f>IF(COUNT(E14:F14)=2,E14-F14,"")</x:f>
      </x:c>
      <x:c r="L14" s="41" t="str">
        <x:f>IF(COUNT(J14:K14)=2,IF(J14&gt;=0,K14-J14,""),"")</x:f>
      </x:c>
      <x:c r="M14" s="41" t="str">
        <x:f>IF(A14="","",IF(AND(COUNTIF($A$6:$A$55,A14)=1,D14&lt;&gt;"",ISNUMBER(I14),ISNUMBER(L14),L14&gt;=0),"CANDIDATE - NO AUTHORIZATION","HOLD: LEDGER / SHORTFALL"))</x:f>
      </x:c>
    </x:row>
    <x:row r="15" ht="23" customHeight="1">
      <x:c r="A15" s="38"/>
      <x:c r="B15" s="41" t="str">
        <x:f>IF(COUNTIF(ExPost!$A$6:$A$55,A15)=1,IF(ISNUMBER(INDEX(ExPost!$L$6:$L$55,MATCH(A15,ExPost!$A$6:$A$55,0))),INDEX(ExPost!$L$6:$L$55,MATCH(A15,ExPost!$A$6:$A$55,0)),""),"")</x:f>
      </x:c>
      <x:c r="C15" s="36"/>
      <x:c r="D15" s="36"/>
      <x:c r="E15" s="41" t="str">
        <x:f>IF(ISNUMBER(B15),MAX(0,B15),"")</x:f>
      </x:c>
      <x:c r="F15" s="41" t="str">
        <x:f>IF(COUNT(C15,E15)=2,IF(C15&gt;=0,MIN(C15,E15),""),"")</x:f>
      </x:c>
      <x:c r="G15" s="36"/>
      <x:c r="H15" s="36"/>
      <x:c r="I15" s="41" t="str">
        <x:f>IF(COUNT(C15,F15,G15)=3,IF(AND(G15&gt;=0,G15&lt;=F15,OR(G15=0,H15&lt;&gt;"")),C15-G15,""),"")</x:f>
      </x:c>
      <x:c r="J15" s="36"/>
      <x:c r="K15" s="41" t="str">
        <x:f>IF(COUNT(E15:F15)=2,E15-F15,"")</x:f>
      </x:c>
      <x:c r="L15" s="41" t="str">
        <x:f>IF(COUNT(J15:K15)=2,IF(J15&gt;=0,K15-J15,""),"")</x:f>
      </x:c>
      <x:c r="M15" s="41" t="str">
        <x:f>IF(A15="","",IF(AND(COUNTIF($A$6:$A$55,A15)=1,D15&lt;&gt;"",ISNUMBER(I15),ISNUMBER(L15),L15&gt;=0),"CANDIDATE - NO AUTHORIZATION","HOLD: LEDGER / SHORTFALL"))</x:f>
      </x:c>
    </x:row>
    <x:row r="16" ht="23" customHeight="1">
      <x:c r="A16" s="38"/>
      <x:c r="B16" s="41" t="str">
        <x:f>IF(COUNTIF(ExPost!$A$6:$A$55,A16)=1,IF(ISNUMBER(INDEX(ExPost!$L$6:$L$55,MATCH(A16,ExPost!$A$6:$A$55,0))),INDEX(ExPost!$L$6:$L$55,MATCH(A16,ExPost!$A$6:$A$55,0)),""),"")</x:f>
      </x:c>
      <x:c r="C16" s="36"/>
      <x:c r="D16" s="36"/>
      <x:c r="E16" s="41" t="str">
        <x:f>IF(ISNUMBER(B16),MAX(0,B16),"")</x:f>
      </x:c>
      <x:c r="F16" s="41" t="str">
        <x:f>IF(COUNT(C16,E16)=2,IF(C16&gt;=0,MIN(C16,E16),""),"")</x:f>
      </x:c>
      <x:c r="G16" s="36"/>
      <x:c r="H16" s="36"/>
      <x:c r="I16" s="41" t="str">
        <x:f>IF(COUNT(C16,F16,G16)=3,IF(AND(G16&gt;=0,G16&lt;=F16,OR(G16=0,H16&lt;&gt;"")),C16-G16,""),"")</x:f>
      </x:c>
      <x:c r="J16" s="36"/>
      <x:c r="K16" s="41" t="str">
        <x:f>IF(COUNT(E16:F16)=2,E16-F16,"")</x:f>
      </x:c>
      <x:c r="L16" s="41" t="str">
        <x:f>IF(COUNT(J16:K16)=2,IF(J16&gt;=0,K16-J16,""),"")</x:f>
      </x:c>
      <x:c r="M16" s="41" t="str">
        <x:f>IF(A16="","",IF(AND(COUNTIF($A$6:$A$55,A16)=1,D16&lt;&gt;"",ISNUMBER(I16),ISNUMBER(L16),L16&gt;=0),"CANDIDATE - NO AUTHORIZATION","HOLD: LEDGER / SHORTFALL"))</x:f>
      </x:c>
    </x:row>
    <x:row r="17" ht="23" customHeight="1">
      <x:c r="A17" s="38"/>
      <x:c r="B17" s="41" t="str">
        <x:f>IF(COUNTIF(ExPost!$A$6:$A$55,A17)=1,IF(ISNUMBER(INDEX(ExPost!$L$6:$L$55,MATCH(A17,ExPost!$A$6:$A$55,0))),INDEX(ExPost!$L$6:$L$55,MATCH(A17,ExPost!$A$6:$A$55,0)),""),"")</x:f>
      </x:c>
      <x:c r="C17" s="36"/>
      <x:c r="D17" s="36"/>
      <x:c r="E17" s="41" t="str">
        <x:f>IF(ISNUMBER(B17),MAX(0,B17),"")</x:f>
      </x:c>
      <x:c r="F17" s="41" t="str">
        <x:f>IF(COUNT(C17,E17)=2,IF(C17&gt;=0,MIN(C17,E17),""),"")</x:f>
      </x:c>
      <x:c r="G17" s="36"/>
      <x:c r="H17" s="36"/>
      <x:c r="I17" s="41" t="str">
        <x:f>IF(COUNT(C17,F17,G17)=3,IF(AND(G17&gt;=0,G17&lt;=F17,OR(G17=0,H17&lt;&gt;"")),C17-G17,""),"")</x:f>
      </x:c>
      <x:c r="J17" s="36"/>
      <x:c r="K17" s="41" t="str">
        <x:f>IF(COUNT(E17:F17)=2,E17-F17,"")</x:f>
      </x:c>
      <x:c r="L17" s="41" t="str">
        <x:f>IF(COUNT(J17:K17)=2,IF(J17&gt;=0,K17-J17,""),"")</x:f>
      </x:c>
      <x:c r="M17" s="41" t="str">
        <x:f>IF(A17="","",IF(AND(COUNTIF($A$6:$A$55,A17)=1,D17&lt;&gt;"",ISNUMBER(I17),ISNUMBER(L17),L17&gt;=0),"CANDIDATE - NO AUTHORIZATION","HOLD: LEDGER / SHORTFALL"))</x:f>
      </x:c>
    </x:row>
    <x:row r="18" ht="23" customHeight="1">
      <x:c r="A18" s="38"/>
      <x:c r="B18" s="41" t="str">
        <x:f>IF(COUNTIF(ExPost!$A$6:$A$55,A18)=1,IF(ISNUMBER(INDEX(ExPost!$L$6:$L$55,MATCH(A18,ExPost!$A$6:$A$55,0))),INDEX(ExPost!$L$6:$L$55,MATCH(A18,ExPost!$A$6:$A$55,0)),""),"")</x:f>
      </x:c>
      <x:c r="C18" s="36"/>
      <x:c r="D18" s="36"/>
      <x:c r="E18" s="41" t="str">
        <x:f>IF(ISNUMBER(B18),MAX(0,B18),"")</x:f>
      </x:c>
      <x:c r="F18" s="41" t="str">
        <x:f>IF(COUNT(C18,E18)=2,IF(C18&gt;=0,MIN(C18,E18),""),"")</x:f>
      </x:c>
      <x:c r="G18" s="36"/>
      <x:c r="H18" s="36"/>
      <x:c r="I18" s="41" t="str">
        <x:f>IF(COUNT(C18,F18,G18)=3,IF(AND(G18&gt;=0,G18&lt;=F18,OR(G18=0,H18&lt;&gt;"")),C18-G18,""),"")</x:f>
      </x:c>
      <x:c r="J18" s="36"/>
      <x:c r="K18" s="41" t="str">
        <x:f>IF(COUNT(E18:F18)=2,E18-F18,"")</x:f>
      </x:c>
      <x:c r="L18" s="41" t="str">
        <x:f>IF(COUNT(J18:K18)=2,IF(J18&gt;=0,K18-J18,""),"")</x:f>
      </x:c>
      <x:c r="M18" s="41" t="str">
        <x:f>IF(A18="","",IF(AND(COUNTIF($A$6:$A$55,A18)=1,D18&lt;&gt;"",ISNUMBER(I18),ISNUMBER(L18),L18&gt;=0),"CANDIDATE - NO AUTHORIZATION","HOLD: LEDGER / SHORTFALL"))</x:f>
      </x:c>
    </x:row>
    <x:row r="19" ht="23" customHeight="1">
      <x:c r="A19" s="38"/>
      <x:c r="B19" s="41" t="str">
        <x:f>IF(COUNTIF(ExPost!$A$6:$A$55,A19)=1,IF(ISNUMBER(INDEX(ExPost!$L$6:$L$55,MATCH(A19,ExPost!$A$6:$A$55,0))),INDEX(ExPost!$L$6:$L$55,MATCH(A19,ExPost!$A$6:$A$55,0)),""),"")</x:f>
      </x:c>
      <x:c r="C19" s="36"/>
      <x:c r="D19" s="36"/>
      <x:c r="E19" s="41" t="str">
        <x:f>IF(ISNUMBER(B19),MAX(0,B19),"")</x:f>
      </x:c>
      <x:c r="F19" s="41" t="str">
        <x:f>IF(COUNT(C19,E19)=2,IF(C19&gt;=0,MIN(C19,E19),""),"")</x:f>
      </x:c>
      <x:c r="G19" s="36"/>
      <x:c r="H19" s="36"/>
      <x:c r="I19" s="41" t="str">
        <x:f>IF(COUNT(C19,F19,G19)=3,IF(AND(G19&gt;=0,G19&lt;=F19,OR(G19=0,H19&lt;&gt;"")),C19-G19,""),"")</x:f>
      </x:c>
      <x:c r="J19" s="36"/>
      <x:c r="K19" s="41" t="str">
        <x:f>IF(COUNT(E19:F19)=2,E19-F19,"")</x:f>
      </x:c>
      <x:c r="L19" s="41" t="str">
        <x:f>IF(COUNT(J19:K19)=2,IF(J19&gt;=0,K19-J19,""),"")</x:f>
      </x:c>
      <x:c r="M19" s="41" t="str">
        <x:f>IF(A19="","",IF(AND(COUNTIF($A$6:$A$55,A19)=1,D19&lt;&gt;"",ISNUMBER(I19),ISNUMBER(L19),L19&gt;=0),"CANDIDATE - NO AUTHORIZATION","HOLD: LEDGER / SHORTFALL"))</x:f>
      </x:c>
    </x:row>
    <x:row r="20" ht="23" customHeight="1">
      <x:c r="A20" s="38"/>
      <x:c r="B20" s="41" t="str">
        <x:f>IF(COUNTIF(ExPost!$A$6:$A$55,A20)=1,IF(ISNUMBER(INDEX(ExPost!$L$6:$L$55,MATCH(A20,ExPost!$A$6:$A$55,0))),INDEX(ExPost!$L$6:$L$55,MATCH(A20,ExPost!$A$6:$A$55,0)),""),"")</x:f>
      </x:c>
      <x:c r="C20" s="36"/>
      <x:c r="D20" s="36"/>
      <x:c r="E20" s="41" t="str">
        <x:f>IF(ISNUMBER(B20),MAX(0,B20),"")</x:f>
      </x:c>
      <x:c r="F20" s="41" t="str">
        <x:f>IF(COUNT(C20,E20)=2,IF(C20&gt;=0,MIN(C20,E20),""),"")</x:f>
      </x:c>
      <x:c r="G20" s="36"/>
      <x:c r="H20" s="36"/>
      <x:c r="I20" s="41" t="str">
        <x:f>IF(COUNT(C20,F20,G20)=3,IF(AND(G20&gt;=0,G20&lt;=F20,OR(G20=0,H20&lt;&gt;"")),C20-G20,""),"")</x:f>
      </x:c>
      <x:c r="J20" s="36"/>
      <x:c r="K20" s="41" t="str">
        <x:f>IF(COUNT(E20:F20)=2,E20-F20,"")</x:f>
      </x:c>
      <x:c r="L20" s="41" t="str">
        <x:f>IF(COUNT(J20:K20)=2,IF(J20&gt;=0,K20-J20,""),"")</x:f>
      </x:c>
      <x:c r="M20" s="41" t="str">
        <x:f>IF(A20="","",IF(AND(COUNTIF($A$6:$A$55,A20)=1,D20&lt;&gt;"",ISNUMBER(I20),ISNUMBER(L20),L20&gt;=0),"CANDIDATE - NO AUTHORIZATION","HOLD: LEDGER / SHORTFALL"))</x:f>
      </x:c>
    </x:row>
    <x:row r="21" ht="23" customHeight="1">
      <x:c r="A21" s="38"/>
      <x:c r="B21" s="41" t="str">
        <x:f>IF(COUNTIF(ExPost!$A$6:$A$55,A21)=1,IF(ISNUMBER(INDEX(ExPost!$L$6:$L$55,MATCH(A21,ExPost!$A$6:$A$55,0))),INDEX(ExPost!$L$6:$L$55,MATCH(A21,ExPost!$A$6:$A$55,0)),""),"")</x:f>
      </x:c>
      <x:c r="C21" s="36"/>
      <x:c r="D21" s="36"/>
      <x:c r="E21" s="41" t="str">
        <x:f>IF(ISNUMBER(B21),MAX(0,B21),"")</x:f>
      </x:c>
      <x:c r="F21" s="41" t="str">
        <x:f>IF(COUNT(C21,E21)=2,IF(C21&gt;=0,MIN(C21,E21),""),"")</x:f>
      </x:c>
      <x:c r="G21" s="36"/>
      <x:c r="H21" s="36"/>
      <x:c r="I21" s="41" t="str">
        <x:f>IF(COUNT(C21,F21,G21)=3,IF(AND(G21&gt;=0,G21&lt;=F21,OR(G21=0,H21&lt;&gt;"")),C21-G21,""),"")</x:f>
      </x:c>
      <x:c r="J21" s="36"/>
      <x:c r="K21" s="41" t="str">
        <x:f>IF(COUNT(E21:F21)=2,E21-F21,"")</x:f>
      </x:c>
      <x:c r="L21" s="41" t="str">
        <x:f>IF(COUNT(J21:K21)=2,IF(J21&gt;=0,K21-J21,""),"")</x:f>
      </x:c>
      <x:c r="M21" s="41" t="str">
        <x:f>IF(A21="","",IF(AND(COUNTIF($A$6:$A$55,A21)=1,D21&lt;&gt;"",ISNUMBER(I21),ISNUMBER(L21),L21&gt;=0),"CANDIDATE - NO AUTHORIZATION","HOLD: LEDGER / SHORTFALL"))</x:f>
      </x:c>
    </x:row>
    <x:row r="22" ht="23" customHeight="1">
      <x:c r="A22" s="38"/>
      <x:c r="B22" s="41" t="str">
        <x:f>IF(COUNTIF(ExPost!$A$6:$A$55,A22)=1,IF(ISNUMBER(INDEX(ExPost!$L$6:$L$55,MATCH(A22,ExPost!$A$6:$A$55,0))),INDEX(ExPost!$L$6:$L$55,MATCH(A22,ExPost!$A$6:$A$55,0)),""),"")</x:f>
      </x:c>
      <x:c r="C22" s="36"/>
      <x:c r="D22" s="36"/>
      <x:c r="E22" s="41" t="str">
        <x:f>IF(ISNUMBER(B22),MAX(0,B22),"")</x:f>
      </x:c>
      <x:c r="F22" s="41" t="str">
        <x:f>IF(COUNT(C22,E22)=2,IF(C22&gt;=0,MIN(C22,E22),""),"")</x:f>
      </x:c>
      <x:c r="G22" s="36"/>
      <x:c r="H22" s="36"/>
      <x:c r="I22" s="41" t="str">
        <x:f>IF(COUNT(C22,F22,G22)=3,IF(AND(G22&gt;=0,G22&lt;=F22,OR(G22=0,H22&lt;&gt;"")),C22-G22,""),"")</x:f>
      </x:c>
      <x:c r="J22" s="36"/>
      <x:c r="K22" s="41" t="str">
        <x:f>IF(COUNT(E22:F22)=2,E22-F22,"")</x:f>
      </x:c>
      <x:c r="L22" s="41" t="str">
        <x:f>IF(COUNT(J22:K22)=2,IF(J22&gt;=0,K22-J22,""),"")</x:f>
      </x:c>
      <x:c r="M22" s="41" t="str">
        <x:f>IF(A22="","",IF(AND(COUNTIF($A$6:$A$55,A22)=1,D22&lt;&gt;"",ISNUMBER(I22),ISNUMBER(L22),L22&gt;=0),"CANDIDATE - NO AUTHORIZATION","HOLD: LEDGER / SHORTFALL"))</x:f>
      </x:c>
    </x:row>
    <x:row r="23" ht="23" customHeight="1">
      <x:c r="A23" s="38"/>
      <x:c r="B23" s="41" t="str">
        <x:f>IF(COUNTIF(ExPost!$A$6:$A$55,A23)=1,IF(ISNUMBER(INDEX(ExPost!$L$6:$L$55,MATCH(A23,ExPost!$A$6:$A$55,0))),INDEX(ExPost!$L$6:$L$55,MATCH(A23,ExPost!$A$6:$A$55,0)),""),"")</x:f>
      </x:c>
      <x:c r="C23" s="36"/>
      <x:c r="D23" s="36"/>
      <x:c r="E23" s="41" t="str">
        <x:f>IF(ISNUMBER(B23),MAX(0,B23),"")</x:f>
      </x:c>
      <x:c r="F23" s="41" t="str">
        <x:f>IF(COUNT(C23,E23)=2,IF(C23&gt;=0,MIN(C23,E23),""),"")</x:f>
      </x:c>
      <x:c r="G23" s="36"/>
      <x:c r="H23" s="36"/>
      <x:c r="I23" s="41" t="str">
        <x:f>IF(COUNT(C23,F23,G23)=3,IF(AND(G23&gt;=0,G23&lt;=F23,OR(G23=0,H23&lt;&gt;"")),C23-G23,""),"")</x:f>
      </x:c>
      <x:c r="J23" s="36"/>
      <x:c r="K23" s="41" t="str">
        <x:f>IF(COUNT(E23:F23)=2,E23-F23,"")</x:f>
      </x:c>
      <x:c r="L23" s="41" t="str">
        <x:f>IF(COUNT(J23:K23)=2,IF(J23&gt;=0,K23-J23,""),"")</x:f>
      </x:c>
      <x:c r="M23" s="41" t="str">
        <x:f>IF(A23="","",IF(AND(COUNTIF($A$6:$A$55,A23)=1,D23&lt;&gt;"",ISNUMBER(I23),ISNUMBER(L23),L23&gt;=0),"CANDIDATE - NO AUTHORIZATION","HOLD: LEDGER / SHORTFALL"))</x:f>
      </x:c>
    </x:row>
    <x:row r="24" ht="23" customHeight="1">
      <x:c r="A24" s="38"/>
      <x:c r="B24" s="41" t="str">
        <x:f>IF(COUNTIF(ExPost!$A$6:$A$55,A24)=1,IF(ISNUMBER(INDEX(ExPost!$L$6:$L$55,MATCH(A24,ExPost!$A$6:$A$55,0))),INDEX(ExPost!$L$6:$L$55,MATCH(A24,ExPost!$A$6:$A$55,0)),""),"")</x:f>
      </x:c>
      <x:c r="C24" s="36"/>
      <x:c r="D24" s="36"/>
      <x:c r="E24" s="41" t="str">
        <x:f>IF(ISNUMBER(B24),MAX(0,B24),"")</x:f>
      </x:c>
      <x:c r="F24" s="41" t="str">
        <x:f>IF(COUNT(C24,E24)=2,IF(C24&gt;=0,MIN(C24,E24),""),"")</x:f>
      </x:c>
      <x:c r="G24" s="36"/>
      <x:c r="H24" s="36"/>
      <x:c r="I24" s="41" t="str">
        <x:f>IF(COUNT(C24,F24,G24)=3,IF(AND(G24&gt;=0,G24&lt;=F24,OR(G24=0,H24&lt;&gt;"")),C24-G24,""),"")</x:f>
      </x:c>
      <x:c r="J24" s="36"/>
      <x:c r="K24" s="41" t="str">
        <x:f>IF(COUNT(E24:F24)=2,E24-F24,"")</x:f>
      </x:c>
      <x:c r="L24" s="41" t="str">
        <x:f>IF(COUNT(J24:K24)=2,IF(J24&gt;=0,K24-J24,""),"")</x:f>
      </x:c>
      <x:c r="M24" s="41" t="str">
        <x:f>IF(A24="","",IF(AND(COUNTIF($A$6:$A$55,A24)=1,D24&lt;&gt;"",ISNUMBER(I24),ISNUMBER(L24),L24&gt;=0),"CANDIDATE - NO AUTHORIZATION","HOLD: LEDGER / SHORTFALL"))</x:f>
      </x:c>
    </x:row>
    <x:row r="25" ht="23" customHeight="1">
      <x:c r="A25" s="38"/>
      <x:c r="B25" s="41" t="str">
        <x:f>IF(COUNTIF(ExPost!$A$6:$A$55,A25)=1,IF(ISNUMBER(INDEX(ExPost!$L$6:$L$55,MATCH(A25,ExPost!$A$6:$A$55,0))),INDEX(ExPost!$L$6:$L$55,MATCH(A25,ExPost!$A$6:$A$55,0)),""),"")</x:f>
      </x:c>
      <x:c r="C25" s="36"/>
      <x:c r="D25" s="36"/>
      <x:c r="E25" s="41" t="str">
        <x:f>IF(ISNUMBER(B25),MAX(0,B25),"")</x:f>
      </x:c>
      <x:c r="F25" s="41" t="str">
        <x:f>IF(COUNT(C25,E25)=2,IF(C25&gt;=0,MIN(C25,E25),""),"")</x:f>
      </x:c>
      <x:c r="G25" s="36"/>
      <x:c r="H25" s="36"/>
      <x:c r="I25" s="41" t="str">
        <x:f>IF(COUNT(C25,F25,G25)=3,IF(AND(G25&gt;=0,G25&lt;=F25,OR(G25=0,H25&lt;&gt;"")),C25-G25,""),"")</x:f>
      </x:c>
      <x:c r="J25" s="36"/>
      <x:c r="K25" s="41" t="str">
        <x:f>IF(COUNT(E25:F25)=2,E25-F25,"")</x:f>
      </x:c>
      <x:c r="L25" s="41" t="str">
        <x:f>IF(COUNT(J25:K25)=2,IF(J25&gt;=0,K25-J25,""),"")</x:f>
      </x:c>
      <x:c r="M25" s="41" t="str">
        <x:f>IF(A25="","",IF(AND(COUNTIF($A$6:$A$55,A25)=1,D25&lt;&gt;"",ISNUMBER(I25),ISNUMBER(L25),L25&gt;=0),"CANDIDATE - NO AUTHORIZATION","HOLD: LEDGER / SHORTFALL"))</x:f>
      </x:c>
    </x:row>
    <x:row r="26" ht="23" customHeight="1">
      <x:c r="A26" s="38"/>
      <x:c r="B26" s="41" t="str">
        <x:f>IF(COUNTIF(ExPost!$A$6:$A$55,A26)=1,IF(ISNUMBER(INDEX(ExPost!$L$6:$L$55,MATCH(A26,ExPost!$A$6:$A$55,0))),INDEX(ExPost!$L$6:$L$55,MATCH(A26,ExPost!$A$6:$A$55,0)),""),"")</x:f>
      </x:c>
      <x:c r="C26" s="36"/>
      <x:c r="D26" s="36"/>
      <x:c r="E26" s="41" t="str">
        <x:f>IF(ISNUMBER(B26),MAX(0,B26),"")</x:f>
      </x:c>
      <x:c r="F26" s="41" t="str">
        <x:f>IF(COUNT(C26,E26)=2,IF(C26&gt;=0,MIN(C26,E26),""),"")</x:f>
      </x:c>
      <x:c r="G26" s="36"/>
      <x:c r="H26" s="36"/>
      <x:c r="I26" s="41" t="str">
        <x:f>IF(COUNT(C26,F26,G26)=3,IF(AND(G26&gt;=0,G26&lt;=F26,OR(G26=0,H26&lt;&gt;"")),C26-G26,""),"")</x:f>
      </x:c>
      <x:c r="J26" s="36"/>
      <x:c r="K26" s="41" t="str">
        <x:f>IF(COUNT(E26:F26)=2,E26-F26,"")</x:f>
      </x:c>
      <x:c r="L26" s="41" t="str">
        <x:f>IF(COUNT(J26:K26)=2,IF(J26&gt;=0,K26-J26,""),"")</x:f>
      </x:c>
      <x:c r="M26" s="41" t="str">
        <x:f>IF(A26="","",IF(AND(COUNTIF($A$6:$A$55,A26)=1,D26&lt;&gt;"",ISNUMBER(I26),ISNUMBER(L26),L26&gt;=0),"CANDIDATE - NO AUTHORIZATION","HOLD: LEDGER / SHORTFALL"))</x:f>
      </x:c>
    </x:row>
    <x:row r="27" ht="23" customHeight="1">
      <x:c r="A27" s="38"/>
      <x:c r="B27" s="41" t="str">
        <x:f>IF(COUNTIF(ExPost!$A$6:$A$55,A27)=1,IF(ISNUMBER(INDEX(ExPost!$L$6:$L$55,MATCH(A27,ExPost!$A$6:$A$55,0))),INDEX(ExPost!$L$6:$L$55,MATCH(A27,ExPost!$A$6:$A$55,0)),""),"")</x:f>
      </x:c>
      <x:c r="C27" s="36"/>
      <x:c r="D27" s="36"/>
      <x:c r="E27" s="41" t="str">
        <x:f>IF(ISNUMBER(B27),MAX(0,B27),"")</x:f>
      </x:c>
      <x:c r="F27" s="41" t="str">
        <x:f>IF(COUNT(C27,E27)=2,IF(C27&gt;=0,MIN(C27,E27),""),"")</x:f>
      </x:c>
      <x:c r="G27" s="36"/>
      <x:c r="H27" s="36"/>
      <x:c r="I27" s="41" t="str">
        <x:f>IF(COUNT(C27,F27,G27)=3,IF(AND(G27&gt;=0,G27&lt;=F27,OR(G27=0,H27&lt;&gt;"")),C27-G27,""),"")</x:f>
      </x:c>
      <x:c r="J27" s="36"/>
      <x:c r="K27" s="41" t="str">
        <x:f>IF(COUNT(E27:F27)=2,E27-F27,"")</x:f>
      </x:c>
      <x:c r="L27" s="41" t="str">
        <x:f>IF(COUNT(J27:K27)=2,IF(J27&gt;=0,K27-J27,""),"")</x:f>
      </x:c>
      <x:c r="M27" s="41" t="str">
        <x:f>IF(A27="","",IF(AND(COUNTIF($A$6:$A$55,A27)=1,D27&lt;&gt;"",ISNUMBER(I27),ISNUMBER(L27),L27&gt;=0),"CANDIDATE - NO AUTHORIZATION","HOLD: LEDGER / SHORTFALL"))</x:f>
      </x:c>
    </x:row>
    <x:row r="28" ht="23" customHeight="1">
      <x:c r="A28" s="38"/>
      <x:c r="B28" s="41" t="str">
        <x:f>IF(COUNTIF(ExPost!$A$6:$A$55,A28)=1,IF(ISNUMBER(INDEX(ExPost!$L$6:$L$55,MATCH(A28,ExPost!$A$6:$A$55,0))),INDEX(ExPost!$L$6:$L$55,MATCH(A28,ExPost!$A$6:$A$55,0)),""),"")</x:f>
      </x:c>
      <x:c r="C28" s="36"/>
      <x:c r="D28" s="36"/>
      <x:c r="E28" s="41" t="str">
        <x:f>IF(ISNUMBER(B28),MAX(0,B28),"")</x:f>
      </x:c>
      <x:c r="F28" s="41" t="str">
        <x:f>IF(COUNT(C28,E28)=2,IF(C28&gt;=0,MIN(C28,E28),""),"")</x:f>
      </x:c>
      <x:c r="G28" s="36"/>
      <x:c r="H28" s="36"/>
      <x:c r="I28" s="41" t="str">
        <x:f>IF(COUNT(C28,F28,G28)=3,IF(AND(G28&gt;=0,G28&lt;=F28,OR(G28=0,H28&lt;&gt;"")),C28-G28,""),"")</x:f>
      </x:c>
      <x:c r="J28" s="36"/>
      <x:c r="K28" s="41" t="str">
        <x:f>IF(COUNT(E28:F28)=2,E28-F28,"")</x:f>
      </x:c>
      <x:c r="L28" s="41" t="str">
        <x:f>IF(COUNT(J28:K28)=2,IF(J28&gt;=0,K28-J28,""),"")</x:f>
      </x:c>
      <x:c r="M28" s="41" t="str">
        <x:f>IF(A28="","",IF(AND(COUNTIF($A$6:$A$55,A28)=1,D28&lt;&gt;"",ISNUMBER(I28),ISNUMBER(L28),L28&gt;=0),"CANDIDATE - NO AUTHORIZATION","HOLD: LEDGER / SHORTFALL"))</x:f>
      </x:c>
    </x:row>
    <x:row r="29" ht="23" customHeight="1">
      <x:c r="A29" s="38"/>
      <x:c r="B29" s="41" t="str">
        <x:f>IF(COUNTIF(ExPost!$A$6:$A$55,A29)=1,IF(ISNUMBER(INDEX(ExPost!$L$6:$L$55,MATCH(A29,ExPost!$A$6:$A$55,0))),INDEX(ExPost!$L$6:$L$55,MATCH(A29,ExPost!$A$6:$A$55,0)),""),"")</x:f>
      </x:c>
      <x:c r="C29" s="36"/>
      <x:c r="D29" s="36"/>
      <x:c r="E29" s="41" t="str">
        <x:f>IF(ISNUMBER(B29),MAX(0,B29),"")</x:f>
      </x:c>
      <x:c r="F29" s="41" t="str">
        <x:f>IF(COUNT(C29,E29)=2,IF(C29&gt;=0,MIN(C29,E29),""),"")</x:f>
      </x:c>
      <x:c r="G29" s="36"/>
      <x:c r="H29" s="36"/>
      <x:c r="I29" s="41" t="str">
        <x:f>IF(COUNT(C29,F29,G29)=3,IF(AND(G29&gt;=0,G29&lt;=F29,OR(G29=0,H29&lt;&gt;"")),C29-G29,""),"")</x:f>
      </x:c>
      <x:c r="J29" s="36"/>
      <x:c r="K29" s="41" t="str">
        <x:f>IF(COUNT(E29:F29)=2,E29-F29,"")</x:f>
      </x:c>
      <x:c r="L29" s="41" t="str">
        <x:f>IF(COUNT(J29:K29)=2,IF(J29&gt;=0,K29-J29,""),"")</x:f>
      </x:c>
      <x:c r="M29" s="41" t="str">
        <x:f>IF(A29="","",IF(AND(COUNTIF($A$6:$A$55,A29)=1,D29&lt;&gt;"",ISNUMBER(I29),ISNUMBER(L29),L29&gt;=0),"CANDIDATE - NO AUTHORIZATION","HOLD: LEDGER / SHORTFALL"))</x:f>
      </x:c>
    </x:row>
    <x:row r="30" ht="23" customHeight="1">
      <x:c r="A30" s="38"/>
      <x:c r="B30" s="41" t="str">
        <x:f>IF(COUNTIF(ExPost!$A$6:$A$55,A30)=1,IF(ISNUMBER(INDEX(ExPost!$L$6:$L$55,MATCH(A30,ExPost!$A$6:$A$55,0))),INDEX(ExPost!$L$6:$L$55,MATCH(A30,ExPost!$A$6:$A$55,0)),""),"")</x:f>
      </x:c>
      <x:c r="C30" s="36"/>
      <x:c r="D30" s="36"/>
      <x:c r="E30" s="41" t="str">
        <x:f>IF(ISNUMBER(B30),MAX(0,B30),"")</x:f>
      </x:c>
      <x:c r="F30" s="41" t="str">
        <x:f>IF(COUNT(C30,E30)=2,IF(C30&gt;=0,MIN(C30,E30),""),"")</x:f>
      </x:c>
      <x:c r="G30" s="36"/>
      <x:c r="H30" s="36"/>
      <x:c r="I30" s="41" t="str">
        <x:f>IF(COUNT(C30,F30,G30)=3,IF(AND(G30&gt;=0,G30&lt;=F30,OR(G30=0,H30&lt;&gt;"")),C30-G30,""),"")</x:f>
      </x:c>
      <x:c r="J30" s="36"/>
      <x:c r="K30" s="41" t="str">
        <x:f>IF(COUNT(E30:F30)=2,E30-F30,"")</x:f>
      </x:c>
      <x:c r="L30" s="41" t="str">
        <x:f>IF(COUNT(J30:K30)=2,IF(J30&gt;=0,K30-J30,""),"")</x:f>
      </x:c>
      <x:c r="M30" s="41" t="str">
        <x:f>IF(A30="","",IF(AND(COUNTIF($A$6:$A$55,A30)=1,D30&lt;&gt;"",ISNUMBER(I30),ISNUMBER(L30),L30&gt;=0),"CANDIDATE - NO AUTHORIZATION","HOLD: LEDGER / SHORTFALL"))</x:f>
      </x:c>
    </x:row>
    <x:row r="31" ht="23" customHeight="1">
      <x:c r="A31" s="38"/>
      <x:c r="B31" s="41" t="str">
        <x:f>IF(COUNTIF(ExPost!$A$6:$A$55,A31)=1,IF(ISNUMBER(INDEX(ExPost!$L$6:$L$55,MATCH(A31,ExPost!$A$6:$A$55,0))),INDEX(ExPost!$L$6:$L$55,MATCH(A31,ExPost!$A$6:$A$55,0)),""),"")</x:f>
      </x:c>
      <x:c r="C31" s="36"/>
      <x:c r="D31" s="36"/>
      <x:c r="E31" s="41" t="str">
        <x:f>IF(ISNUMBER(B31),MAX(0,B31),"")</x:f>
      </x:c>
      <x:c r="F31" s="41" t="str">
        <x:f>IF(COUNT(C31,E31)=2,IF(C31&gt;=0,MIN(C31,E31),""),"")</x:f>
      </x:c>
      <x:c r="G31" s="36"/>
      <x:c r="H31" s="36"/>
      <x:c r="I31" s="41" t="str">
        <x:f>IF(COUNT(C31,F31,G31)=3,IF(AND(G31&gt;=0,G31&lt;=F31,OR(G31=0,H31&lt;&gt;"")),C31-G31,""),"")</x:f>
      </x:c>
      <x:c r="J31" s="36"/>
      <x:c r="K31" s="41" t="str">
        <x:f>IF(COUNT(E31:F31)=2,E31-F31,"")</x:f>
      </x:c>
      <x:c r="L31" s="41" t="str">
        <x:f>IF(COUNT(J31:K31)=2,IF(J31&gt;=0,K31-J31,""),"")</x:f>
      </x:c>
      <x:c r="M31" s="41" t="str">
        <x:f>IF(A31="","",IF(AND(COUNTIF($A$6:$A$55,A31)=1,D31&lt;&gt;"",ISNUMBER(I31),ISNUMBER(L31),L31&gt;=0),"CANDIDATE - NO AUTHORIZATION","HOLD: LEDGER / SHORTFALL"))</x:f>
      </x:c>
    </x:row>
    <x:row r="32" ht="23" customHeight="1">
      <x:c r="A32" s="38"/>
      <x:c r="B32" s="41" t="str">
        <x:f>IF(COUNTIF(ExPost!$A$6:$A$55,A32)=1,IF(ISNUMBER(INDEX(ExPost!$L$6:$L$55,MATCH(A32,ExPost!$A$6:$A$55,0))),INDEX(ExPost!$L$6:$L$55,MATCH(A32,ExPost!$A$6:$A$55,0)),""),"")</x:f>
      </x:c>
      <x:c r="C32" s="36"/>
      <x:c r="D32" s="36"/>
      <x:c r="E32" s="41" t="str">
        <x:f>IF(ISNUMBER(B32),MAX(0,B32),"")</x:f>
      </x:c>
      <x:c r="F32" s="41" t="str">
        <x:f>IF(COUNT(C32,E32)=2,IF(C32&gt;=0,MIN(C32,E32),""),"")</x:f>
      </x:c>
      <x:c r="G32" s="36"/>
      <x:c r="H32" s="36"/>
      <x:c r="I32" s="41" t="str">
        <x:f>IF(COUNT(C32,F32,G32)=3,IF(AND(G32&gt;=0,G32&lt;=F32,OR(G32=0,H32&lt;&gt;"")),C32-G32,""),"")</x:f>
      </x:c>
      <x:c r="J32" s="36"/>
      <x:c r="K32" s="41" t="str">
        <x:f>IF(COUNT(E32:F32)=2,E32-F32,"")</x:f>
      </x:c>
      <x:c r="L32" s="41" t="str">
        <x:f>IF(COUNT(J32:K32)=2,IF(J32&gt;=0,K32-J32,""),"")</x:f>
      </x:c>
      <x:c r="M32" s="41" t="str">
        <x:f>IF(A32="","",IF(AND(COUNTIF($A$6:$A$55,A32)=1,D32&lt;&gt;"",ISNUMBER(I32),ISNUMBER(L32),L32&gt;=0),"CANDIDATE - NO AUTHORIZATION","HOLD: LEDGER / SHORTFALL"))</x:f>
      </x:c>
    </x:row>
    <x:row r="33" ht="23" customHeight="1">
      <x:c r="A33" s="38"/>
      <x:c r="B33" s="41" t="str">
        <x:f>IF(COUNTIF(ExPost!$A$6:$A$55,A33)=1,IF(ISNUMBER(INDEX(ExPost!$L$6:$L$55,MATCH(A33,ExPost!$A$6:$A$55,0))),INDEX(ExPost!$L$6:$L$55,MATCH(A33,ExPost!$A$6:$A$55,0)),""),"")</x:f>
      </x:c>
      <x:c r="C33" s="36"/>
      <x:c r="D33" s="36"/>
      <x:c r="E33" s="41" t="str">
        <x:f>IF(ISNUMBER(B33),MAX(0,B33),"")</x:f>
      </x:c>
      <x:c r="F33" s="41" t="str">
        <x:f>IF(COUNT(C33,E33)=2,IF(C33&gt;=0,MIN(C33,E33),""),"")</x:f>
      </x:c>
      <x:c r="G33" s="36"/>
      <x:c r="H33" s="36"/>
      <x:c r="I33" s="41" t="str">
        <x:f>IF(COUNT(C33,F33,G33)=3,IF(AND(G33&gt;=0,G33&lt;=F33,OR(G33=0,H33&lt;&gt;"")),C33-G33,""),"")</x:f>
      </x:c>
      <x:c r="J33" s="36"/>
      <x:c r="K33" s="41" t="str">
        <x:f>IF(COUNT(E33:F33)=2,E33-F33,"")</x:f>
      </x:c>
      <x:c r="L33" s="41" t="str">
        <x:f>IF(COUNT(J33:K33)=2,IF(J33&gt;=0,K33-J33,""),"")</x:f>
      </x:c>
      <x:c r="M33" s="41" t="str">
        <x:f>IF(A33="","",IF(AND(COUNTIF($A$6:$A$55,A33)=1,D33&lt;&gt;"",ISNUMBER(I33),ISNUMBER(L33),L33&gt;=0),"CANDIDATE - NO AUTHORIZATION","HOLD: LEDGER / SHORTFALL"))</x:f>
      </x:c>
    </x:row>
    <x:row r="34" ht="23" customHeight="1">
      <x:c r="A34" s="38"/>
      <x:c r="B34" s="41" t="str">
        <x:f>IF(COUNTIF(ExPost!$A$6:$A$55,A34)=1,IF(ISNUMBER(INDEX(ExPost!$L$6:$L$55,MATCH(A34,ExPost!$A$6:$A$55,0))),INDEX(ExPost!$L$6:$L$55,MATCH(A34,ExPost!$A$6:$A$55,0)),""),"")</x:f>
      </x:c>
      <x:c r="C34" s="36"/>
      <x:c r="D34" s="36"/>
      <x:c r="E34" s="41" t="str">
        <x:f>IF(ISNUMBER(B34),MAX(0,B34),"")</x:f>
      </x:c>
      <x:c r="F34" s="41" t="str">
        <x:f>IF(COUNT(C34,E34)=2,IF(C34&gt;=0,MIN(C34,E34),""),"")</x:f>
      </x:c>
      <x:c r="G34" s="36"/>
      <x:c r="H34" s="36"/>
      <x:c r="I34" s="41" t="str">
        <x:f>IF(COUNT(C34,F34,G34)=3,IF(AND(G34&gt;=0,G34&lt;=F34,OR(G34=0,H34&lt;&gt;"")),C34-G34,""),"")</x:f>
      </x:c>
      <x:c r="J34" s="36"/>
      <x:c r="K34" s="41" t="str">
        <x:f>IF(COUNT(E34:F34)=2,E34-F34,"")</x:f>
      </x:c>
      <x:c r="L34" s="41" t="str">
        <x:f>IF(COUNT(J34:K34)=2,IF(J34&gt;=0,K34-J34,""),"")</x:f>
      </x:c>
      <x:c r="M34" s="41" t="str">
        <x:f>IF(A34="","",IF(AND(COUNTIF($A$6:$A$55,A34)=1,D34&lt;&gt;"",ISNUMBER(I34),ISNUMBER(L34),L34&gt;=0),"CANDIDATE - NO AUTHORIZATION","HOLD: LEDGER / SHORTFALL"))</x:f>
      </x:c>
    </x:row>
    <x:row r="35" ht="23" customHeight="1">
      <x:c r="A35" s="38"/>
      <x:c r="B35" s="41" t="str">
        <x:f>IF(COUNTIF(ExPost!$A$6:$A$55,A35)=1,IF(ISNUMBER(INDEX(ExPost!$L$6:$L$55,MATCH(A35,ExPost!$A$6:$A$55,0))),INDEX(ExPost!$L$6:$L$55,MATCH(A35,ExPost!$A$6:$A$55,0)),""),"")</x:f>
      </x:c>
      <x:c r="C35" s="36"/>
      <x:c r="D35" s="36"/>
      <x:c r="E35" s="41" t="str">
        <x:f>IF(ISNUMBER(B35),MAX(0,B35),"")</x:f>
      </x:c>
      <x:c r="F35" s="41" t="str">
        <x:f>IF(COUNT(C35,E35)=2,IF(C35&gt;=0,MIN(C35,E35),""),"")</x:f>
      </x:c>
      <x:c r="G35" s="36"/>
      <x:c r="H35" s="36"/>
      <x:c r="I35" s="41" t="str">
        <x:f>IF(COUNT(C35,F35,G35)=3,IF(AND(G35&gt;=0,G35&lt;=F35,OR(G35=0,H35&lt;&gt;"")),C35-G35,""),"")</x:f>
      </x:c>
      <x:c r="J35" s="36"/>
      <x:c r="K35" s="41" t="str">
        <x:f>IF(COUNT(E35:F35)=2,E35-F35,"")</x:f>
      </x:c>
      <x:c r="L35" s="41" t="str">
        <x:f>IF(COUNT(J35:K35)=2,IF(J35&gt;=0,K35-J35,""),"")</x:f>
      </x:c>
      <x:c r="M35" s="41" t="str">
        <x:f>IF(A35="","",IF(AND(COUNTIF($A$6:$A$55,A35)=1,D35&lt;&gt;"",ISNUMBER(I35),ISNUMBER(L35),L35&gt;=0),"CANDIDATE - NO AUTHORIZATION","HOLD: LEDGER / SHORTFALL"))</x:f>
      </x:c>
    </x:row>
    <x:row r="36" ht="23" customHeight="1">
      <x:c r="A36" s="38"/>
      <x:c r="B36" s="41" t="str">
        <x:f>IF(COUNTIF(ExPost!$A$6:$A$55,A36)=1,IF(ISNUMBER(INDEX(ExPost!$L$6:$L$55,MATCH(A36,ExPost!$A$6:$A$55,0))),INDEX(ExPost!$L$6:$L$55,MATCH(A36,ExPost!$A$6:$A$55,0)),""),"")</x:f>
      </x:c>
      <x:c r="C36" s="36"/>
      <x:c r="D36" s="36"/>
      <x:c r="E36" s="41" t="str">
        <x:f>IF(ISNUMBER(B36),MAX(0,B36),"")</x:f>
      </x:c>
      <x:c r="F36" s="41" t="str">
        <x:f>IF(COUNT(C36,E36)=2,IF(C36&gt;=0,MIN(C36,E36),""),"")</x:f>
      </x:c>
      <x:c r="G36" s="36"/>
      <x:c r="H36" s="36"/>
      <x:c r="I36" s="41" t="str">
        <x:f>IF(COUNT(C36,F36,G36)=3,IF(AND(G36&gt;=0,G36&lt;=F36,OR(G36=0,H36&lt;&gt;"")),C36-G36,""),"")</x:f>
      </x:c>
      <x:c r="J36" s="36"/>
      <x:c r="K36" s="41" t="str">
        <x:f>IF(COUNT(E36:F36)=2,E36-F36,"")</x:f>
      </x:c>
      <x:c r="L36" s="41" t="str">
        <x:f>IF(COUNT(J36:K36)=2,IF(J36&gt;=0,K36-J36,""),"")</x:f>
      </x:c>
      <x:c r="M36" s="41" t="str">
        <x:f>IF(A36="","",IF(AND(COUNTIF($A$6:$A$55,A36)=1,D36&lt;&gt;"",ISNUMBER(I36),ISNUMBER(L36),L36&gt;=0),"CANDIDATE - NO AUTHORIZATION","HOLD: LEDGER / SHORTFALL"))</x:f>
      </x:c>
    </x:row>
    <x:row r="37" ht="23" customHeight="1">
      <x:c r="A37" s="38"/>
      <x:c r="B37" s="41" t="str">
        <x:f>IF(COUNTIF(ExPost!$A$6:$A$55,A37)=1,IF(ISNUMBER(INDEX(ExPost!$L$6:$L$55,MATCH(A37,ExPost!$A$6:$A$55,0))),INDEX(ExPost!$L$6:$L$55,MATCH(A37,ExPost!$A$6:$A$55,0)),""),"")</x:f>
      </x:c>
      <x:c r="C37" s="36"/>
      <x:c r="D37" s="36"/>
      <x:c r="E37" s="41" t="str">
        <x:f>IF(ISNUMBER(B37),MAX(0,B37),"")</x:f>
      </x:c>
      <x:c r="F37" s="41" t="str">
        <x:f>IF(COUNT(C37,E37)=2,IF(C37&gt;=0,MIN(C37,E37),""),"")</x:f>
      </x:c>
      <x:c r="G37" s="36"/>
      <x:c r="H37" s="36"/>
      <x:c r="I37" s="41" t="str">
        <x:f>IF(COUNT(C37,F37,G37)=3,IF(AND(G37&gt;=0,G37&lt;=F37,OR(G37=0,H37&lt;&gt;"")),C37-G37,""),"")</x:f>
      </x:c>
      <x:c r="J37" s="36"/>
      <x:c r="K37" s="41" t="str">
        <x:f>IF(COUNT(E37:F37)=2,E37-F37,"")</x:f>
      </x:c>
      <x:c r="L37" s="41" t="str">
        <x:f>IF(COUNT(J37:K37)=2,IF(J37&gt;=0,K37-J37,""),"")</x:f>
      </x:c>
      <x:c r="M37" s="41" t="str">
        <x:f>IF(A37="","",IF(AND(COUNTIF($A$6:$A$55,A37)=1,D37&lt;&gt;"",ISNUMBER(I37),ISNUMBER(L37),L37&gt;=0),"CANDIDATE - NO AUTHORIZATION","HOLD: LEDGER / SHORTFALL"))</x:f>
      </x:c>
    </x:row>
    <x:row r="38" ht="23" customHeight="1">
      <x:c r="A38" s="38"/>
      <x:c r="B38" s="41" t="str">
        <x:f>IF(COUNTIF(ExPost!$A$6:$A$55,A38)=1,IF(ISNUMBER(INDEX(ExPost!$L$6:$L$55,MATCH(A38,ExPost!$A$6:$A$55,0))),INDEX(ExPost!$L$6:$L$55,MATCH(A38,ExPost!$A$6:$A$55,0)),""),"")</x:f>
      </x:c>
      <x:c r="C38" s="36"/>
      <x:c r="D38" s="36"/>
      <x:c r="E38" s="41" t="str">
        <x:f>IF(ISNUMBER(B38),MAX(0,B38),"")</x:f>
      </x:c>
      <x:c r="F38" s="41" t="str">
        <x:f>IF(COUNT(C38,E38)=2,IF(C38&gt;=0,MIN(C38,E38),""),"")</x:f>
      </x:c>
      <x:c r="G38" s="36"/>
      <x:c r="H38" s="36"/>
      <x:c r="I38" s="41" t="str">
        <x:f>IF(COUNT(C38,F38,G38)=3,IF(AND(G38&gt;=0,G38&lt;=F38,OR(G38=0,H38&lt;&gt;"")),C38-G38,""),"")</x:f>
      </x:c>
      <x:c r="J38" s="36"/>
      <x:c r="K38" s="41" t="str">
        <x:f>IF(COUNT(E38:F38)=2,E38-F38,"")</x:f>
      </x:c>
      <x:c r="L38" s="41" t="str">
        <x:f>IF(COUNT(J38:K38)=2,IF(J38&gt;=0,K38-J38,""),"")</x:f>
      </x:c>
      <x:c r="M38" s="41" t="str">
        <x:f>IF(A38="","",IF(AND(COUNTIF($A$6:$A$55,A38)=1,D38&lt;&gt;"",ISNUMBER(I38),ISNUMBER(L38),L38&gt;=0),"CANDIDATE - NO AUTHORIZATION","HOLD: LEDGER / SHORTFALL"))</x:f>
      </x:c>
    </x:row>
    <x:row r="39" ht="23" customHeight="1">
      <x:c r="A39" s="38"/>
      <x:c r="B39" s="41" t="str">
        <x:f>IF(COUNTIF(ExPost!$A$6:$A$55,A39)=1,IF(ISNUMBER(INDEX(ExPost!$L$6:$L$55,MATCH(A39,ExPost!$A$6:$A$55,0))),INDEX(ExPost!$L$6:$L$55,MATCH(A39,ExPost!$A$6:$A$55,0)),""),"")</x:f>
      </x:c>
      <x:c r="C39" s="36"/>
      <x:c r="D39" s="36"/>
      <x:c r="E39" s="41" t="str">
        <x:f>IF(ISNUMBER(B39),MAX(0,B39),"")</x:f>
      </x:c>
      <x:c r="F39" s="41" t="str">
        <x:f>IF(COUNT(C39,E39)=2,IF(C39&gt;=0,MIN(C39,E39),""),"")</x:f>
      </x:c>
      <x:c r="G39" s="36"/>
      <x:c r="H39" s="36"/>
      <x:c r="I39" s="41" t="str">
        <x:f>IF(COUNT(C39,F39,G39)=3,IF(AND(G39&gt;=0,G39&lt;=F39,OR(G39=0,H39&lt;&gt;"")),C39-G39,""),"")</x:f>
      </x:c>
      <x:c r="J39" s="36"/>
      <x:c r="K39" s="41" t="str">
        <x:f>IF(COUNT(E39:F39)=2,E39-F39,"")</x:f>
      </x:c>
      <x:c r="L39" s="41" t="str">
        <x:f>IF(COUNT(J39:K39)=2,IF(J39&gt;=0,K39-J39,""),"")</x:f>
      </x:c>
      <x:c r="M39" s="41" t="str">
        <x:f>IF(A39="","",IF(AND(COUNTIF($A$6:$A$55,A39)=1,D39&lt;&gt;"",ISNUMBER(I39),ISNUMBER(L39),L39&gt;=0),"CANDIDATE - NO AUTHORIZATION","HOLD: LEDGER / SHORTFALL"))</x:f>
      </x:c>
    </x:row>
    <x:row r="40" ht="23" customHeight="1">
      <x:c r="A40" s="38"/>
      <x:c r="B40" s="41" t="str">
        <x:f>IF(COUNTIF(ExPost!$A$6:$A$55,A40)=1,IF(ISNUMBER(INDEX(ExPost!$L$6:$L$55,MATCH(A40,ExPost!$A$6:$A$55,0))),INDEX(ExPost!$L$6:$L$55,MATCH(A40,ExPost!$A$6:$A$55,0)),""),"")</x:f>
      </x:c>
      <x:c r="C40" s="36"/>
      <x:c r="D40" s="36"/>
      <x:c r="E40" s="41" t="str">
        <x:f>IF(ISNUMBER(B40),MAX(0,B40),"")</x:f>
      </x:c>
      <x:c r="F40" s="41" t="str">
        <x:f>IF(COUNT(C40,E40)=2,IF(C40&gt;=0,MIN(C40,E40),""),"")</x:f>
      </x:c>
      <x:c r="G40" s="36"/>
      <x:c r="H40" s="36"/>
      <x:c r="I40" s="41" t="str">
        <x:f>IF(COUNT(C40,F40,G40)=3,IF(AND(G40&gt;=0,G40&lt;=F40,OR(G40=0,H40&lt;&gt;"")),C40-G40,""),"")</x:f>
      </x:c>
      <x:c r="J40" s="36"/>
      <x:c r="K40" s="41" t="str">
        <x:f>IF(COUNT(E40:F40)=2,E40-F40,"")</x:f>
      </x:c>
      <x:c r="L40" s="41" t="str">
        <x:f>IF(COUNT(J40:K40)=2,IF(J40&gt;=0,K40-J40,""),"")</x:f>
      </x:c>
      <x:c r="M40" s="41" t="str">
        <x:f>IF(A40="","",IF(AND(COUNTIF($A$6:$A$55,A40)=1,D40&lt;&gt;"",ISNUMBER(I40),ISNUMBER(L40),L40&gt;=0),"CANDIDATE - NO AUTHORIZATION","HOLD: LEDGER / SHORTFALL"))</x:f>
      </x:c>
    </x:row>
    <x:row r="41" ht="23" customHeight="1">
      <x:c r="A41" s="38"/>
      <x:c r="B41" s="41" t="str">
        <x:f>IF(COUNTIF(ExPost!$A$6:$A$55,A41)=1,IF(ISNUMBER(INDEX(ExPost!$L$6:$L$55,MATCH(A41,ExPost!$A$6:$A$55,0))),INDEX(ExPost!$L$6:$L$55,MATCH(A41,ExPost!$A$6:$A$55,0)),""),"")</x:f>
      </x:c>
      <x:c r="C41" s="36"/>
      <x:c r="D41" s="36"/>
      <x:c r="E41" s="41" t="str">
        <x:f>IF(ISNUMBER(B41),MAX(0,B41),"")</x:f>
      </x:c>
      <x:c r="F41" s="41" t="str">
        <x:f>IF(COUNT(C41,E41)=2,IF(C41&gt;=0,MIN(C41,E41),""),"")</x:f>
      </x:c>
      <x:c r="G41" s="36"/>
      <x:c r="H41" s="36"/>
      <x:c r="I41" s="41" t="str">
        <x:f>IF(COUNT(C41,F41,G41)=3,IF(AND(G41&gt;=0,G41&lt;=F41,OR(G41=0,H41&lt;&gt;"")),C41-G41,""),"")</x:f>
      </x:c>
      <x:c r="J41" s="36"/>
      <x:c r="K41" s="41" t="str">
        <x:f>IF(COUNT(E41:F41)=2,E41-F41,"")</x:f>
      </x:c>
      <x:c r="L41" s="41" t="str">
        <x:f>IF(COUNT(J41:K41)=2,IF(J41&gt;=0,K41-J41,""),"")</x:f>
      </x:c>
      <x:c r="M41" s="41" t="str">
        <x:f>IF(A41="","",IF(AND(COUNTIF($A$6:$A$55,A41)=1,D41&lt;&gt;"",ISNUMBER(I41),ISNUMBER(L41),L41&gt;=0),"CANDIDATE - NO AUTHORIZATION","HOLD: LEDGER / SHORTFALL"))</x:f>
      </x:c>
    </x:row>
    <x:row r="42" ht="23" customHeight="1">
      <x:c r="A42" s="38"/>
      <x:c r="B42" s="41" t="str">
        <x:f>IF(COUNTIF(ExPost!$A$6:$A$55,A42)=1,IF(ISNUMBER(INDEX(ExPost!$L$6:$L$55,MATCH(A42,ExPost!$A$6:$A$55,0))),INDEX(ExPost!$L$6:$L$55,MATCH(A42,ExPost!$A$6:$A$55,0)),""),"")</x:f>
      </x:c>
      <x:c r="C42" s="36"/>
      <x:c r="D42" s="36"/>
      <x:c r="E42" s="41" t="str">
        <x:f>IF(ISNUMBER(B42),MAX(0,B42),"")</x:f>
      </x:c>
      <x:c r="F42" s="41" t="str">
        <x:f>IF(COUNT(C42,E42)=2,IF(C42&gt;=0,MIN(C42,E42),""),"")</x:f>
      </x:c>
      <x:c r="G42" s="36"/>
      <x:c r="H42" s="36"/>
      <x:c r="I42" s="41" t="str">
        <x:f>IF(COUNT(C42,F42,G42)=3,IF(AND(G42&gt;=0,G42&lt;=F42,OR(G42=0,H42&lt;&gt;"")),C42-G42,""),"")</x:f>
      </x:c>
      <x:c r="J42" s="36"/>
      <x:c r="K42" s="41" t="str">
        <x:f>IF(COUNT(E42:F42)=2,E42-F42,"")</x:f>
      </x:c>
      <x:c r="L42" s="41" t="str">
        <x:f>IF(COUNT(J42:K42)=2,IF(J42&gt;=0,K42-J42,""),"")</x:f>
      </x:c>
      <x:c r="M42" s="41" t="str">
        <x:f>IF(A42="","",IF(AND(COUNTIF($A$6:$A$55,A42)=1,D42&lt;&gt;"",ISNUMBER(I42),ISNUMBER(L42),L42&gt;=0),"CANDIDATE - NO AUTHORIZATION","HOLD: LEDGER / SHORTFALL"))</x:f>
      </x:c>
    </x:row>
    <x:row r="43" ht="23" customHeight="1">
      <x:c r="A43" s="38"/>
      <x:c r="B43" s="41" t="str">
        <x:f>IF(COUNTIF(ExPost!$A$6:$A$55,A43)=1,IF(ISNUMBER(INDEX(ExPost!$L$6:$L$55,MATCH(A43,ExPost!$A$6:$A$55,0))),INDEX(ExPost!$L$6:$L$55,MATCH(A43,ExPost!$A$6:$A$55,0)),""),"")</x:f>
      </x:c>
      <x:c r="C43" s="36"/>
      <x:c r="D43" s="36"/>
      <x:c r="E43" s="41" t="str">
        <x:f>IF(ISNUMBER(B43),MAX(0,B43),"")</x:f>
      </x:c>
      <x:c r="F43" s="41" t="str">
        <x:f>IF(COUNT(C43,E43)=2,IF(C43&gt;=0,MIN(C43,E43),""),"")</x:f>
      </x:c>
      <x:c r="G43" s="36"/>
      <x:c r="H43" s="36"/>
      <x:c r="I43" s="41" t="str">
        <x:f>IF(COUNT(C43,F43,G43)=3,IF(AND(G43&gt;=0,G43&lt;=F43,OR(G43=0,H43&lt;&gt;"")),C43-G43,""),"")</x:f>
      </x:c>
      <x:c r="J43" s="36"/>
      <x:c r="K43" s="41" t="str">
        <x:f>IF(COUNT(E43:F43)=2,E43-F43,"")</x:f>
      </x:c>
      <x:c r="L43" s="41" t="str">
        <x:f>IF(COUNT(J43:K43)=2,IF(J43&gt;=0,K43-J43,""),"")</x:f>
      </x:c>
      <x:c r="M43" s="41" t="str">
        <x:f>IF(A43="","",IF(AND(COUNTIF($A$6:$A$55,A43)=1,D43&lt;&gt;"",ISNUMBER(I43),ISNUMBER(L43),L43&gt;=0),"CANDIDATE - NO AUTHORIZATION","HOLD: LEDGER / SHORTFALL"))</x:f>
      </x:c>
    </x:row>
    <x:row r="44" ht="23" customHeight="1">
      <x:c r="A44" s="38"/>
      <x:c r="B44" s="41" t="str">
        <x:f>IF(COUNTIF(ExPost!$A$6:$A$55,A44)=1,IF(ISNUMBER(INDEX(ExPost!$L$6:$L$55,MATCH(A44,ExPost!$A$6:$A$55,0))),INDEX(ExPost!$L$6:$L$55,MATCH(A44,ExPost!$A$6:$A$55,0)),""),"")</x:f>
      </x:c>
      <x:c r="C44" s="36"/>
      <x:c r="D44" s="36"/>
      <x:c r="E44" s="41" t="str">
        <x:f>IF(ISNUMBER(B44),MAX(0,B44),"")</x:f>
      </x:c>
      <x:c r="F44" s="41" t="str">
        <x:f>IF(COUNT(C44,E44)=2,IF(C44&gt;=0,MIN(C44,E44),""),"")</x:f>
      </x:c>
      <x:c r="G44" s="36"/>
      <x:c r="H44" s="36"/>
      <x:c r="I44" s="41" t="str">
        <x:f>IF(COUNT(C44,F44,G44)=3,IF(AND(G44&gt;=0,G44&lt;=F44,OR(G44=0,H44&lt;&gt;"")),C44-G44,""),"")</x:f>
      </x:c>
      <x:c r="J44" s="36"/>
      <x:c r="K44" s="41" t="str">
        <x:f>IF(COUNT(E44:F44)=2,E44-F44,"")</x:f>
      </x:c>
      <x:c r="L44" s="41" t="str">
        <x:f>IF(COUNT(J44:K44)=2,IF(J44&gt;=0,K44-J44,""),"")</x:f>
      </x:c>
      <x:c r="M44" s="41" t="str">
        <x:f>IF(A44="","",IF(AND(COUNTIF($A$6:$A$55,A44)=1,D44&lt;&gt;"",ISNUMBER(I44),ISNUMBER(L44),L44&gt;=0),"CANDIDATE - NO AUTHORIZATION","HOLD: LEDGER / SHORTFALL"))</x:f>
      </x:c>
    </x:row>
    <x:row r="45" ht="23" customHeight="1">
      <x:c r="A45" s="38"/>
      <x:c r="B45" s="41" t="str">
        <x:f>IF(COUNTIF(ExPost!$A$6:$A$55,A45)=1,IF(ISNUMBER(INDEX(ExPost!$L$6:$L$55,MATCH(A45,ExPost!$A$6:$A$55,0))),INDEX(ExPost!$L$6:$L$55,MATCH(A45,ExPost!$A$6:$A$55,0)),""),"")</x:f>
      </x:c>
      <x:c r="C45" s="36"/>
      <x:c r="D45" s="36"/>
      <x:c r="E45" s="41" t="str">
        <x:f>IF(ISNUMBER(B45),MAX(0,B45),"")</x:f>
      </x:c>
      <x:c r="F45" s="41" t="str">
        <x:f>IF(COUNT(C45,E45)=2,IF(C45&gt;=0,MIN(C45,E45),""),"")</x:f>
      </x:c>
      <x:c r="G45" s="36"/>
      <x:c r="H45" s="36"/>
      <x:c r="I45" s="41" t="str">
        <x:f>IF(COUNT(C45,F45,G45)=3,IF(AND(G45&gt;=0,G45&lt;=F45,OR(G45=0,H45&lt;&gt;"")),C45-G45,""),"")</x:f>
      </x:c>
      <x:c r="J45" s="36"/>
      <x:c r="K45" s="41" t="str">
        <x:f>IF(COUNT(E45:F45)=2,E45-F45,"")</x:f>
      </x:c>
      <x:c r="L45" s="41" t="str">
        <x:f>IF(COUNT(J45:K45)=2,IF(J45&gt;=0,K45-J45,""),"")</x:f>
      </x:c>
      <x:c r="M45" s="41" t="str">
        <x:f>IF(A45="","",IF(AND(COUNTIF($A$6:$A$55,A45)=1,D45&lt;&gt;"",ISNUMBER(I45),ISNUMBER(L45),L45&gt;=0),"CANDIDATE - NO AUTHORIZATION","HOLD: LEDGER / SHORTFALL"))</x:f>
      </x:c>
    </x:row>
    <x:row r="46" ht="23" customHeight="1">
      <x:c r="A46" s="38"/>
      <x:c r="B46" s="41" t="str">
        <x:f>IF(COUNTIF(ExPost!$A$6:$A$55,A46)=1,IF(ISNUMBER(INDEX(ExPost!$L$6:$L$55,MATCH(A46,ExPost!$A$6:$A$55,0))),INDEX(ExPost!$L$6:$L$55,MATCH(A46,ExPost!$A$6:$A$55,0)),""),"")</x:f>
      </x:c>
      <x:c r="C46" s="36"/>
      <x:c r="D46" s="36"/>
      <x:c r="E46" s="41" t="str">
        <x:f>IF(ISNUMBER(B46),MAX(0,B46),"")</x:f>
      </x:c>
      <x:c r="F46" s="41" t="str">
        <x:f>IF(COUNT(C46,E46)=2,IF(C46&gt;=0,MIN(C46,E46),""),"")</x:f>
      </x:c>
      <x:c r="G46" s="36"/>
      <x:c r="H46" s="36"/>
      <x:c r="I46" s="41" t="str">
        <x:f>IF(COUNT(C46,F46,G46)=3,IF(AND(G46&gt;=0,G46&lt;=F46,OR(G46=0,H46&lt;&gt;"")),C46-G46,""),"")</x:f>
      </x:c>
      <x:c r="J46" s="36"/>
      <x:c r="K46" s="41" t="str">
        <x:f>IF(COUNT(E46:F46)=2,E46-F46,"")</x:f>
      </x:c>
      <x:c r="L46" s="41" t="str">
        <x:f>IF(COUNT(J46:K46)=2,IF(J46&gt;=0,K46-J46,""),"")</x:f>
      </x:c>
      <x:c r="M46" s="41" t="str">
        <x:f>IF(A46="","",IF(AND(COUNTIF($A$6:$A$55,A46)=1,D46&lt;&gt;"",ISNUMBER(I46),ISNUMBER(L46),L46&gt;=0),"CANDIDATE - NO AUTHORIZATION","HOLD: LEDGER / SHORTFALL"))</x:f>
      </x:c>
    </x:row>
    <x:row r="47" ht="23" customHeight="1">
      <x:c r="A47" s="38"/>
      <x:c r="B47" s="41" t="str">
        <x:f>IF(COUNTIF(ExPost!$A$6:$A$55,A47)=1,IF(ISNUMBER(INDEX(ExPost!$L$6:$L$55,MATCH(A47,ExPost!$A$6:$A$55,0))),INDEX(ExPost!$L$6:$L$55,MATCH(A47,ExPost!$A$6:$A$55,0)),""),"")</x:f>
      </x:c>
      <x:c r="C47" s="36"/>
      <x:c r="D47" s="36"/>
      <x:c r="E47" s="41" t="str">
        <x:f>IF(ISNUMBER(B47),MAX(0,B47),"")</x:f>
      </x:c>
      <x:c r="F47" s="41" t="str">
        <x:f>IF(COUNT(C47,E47)=2,IF(C47&gt;=0,MIN(C47,E47),""),"")</x:f>
      </x:c>
      <x:c r="G47" s="36"/>
      <x:c r="H47" s="36"/>
      <x:c r="I47" s="41" t="str">
        <x:f>IF(COUNT(C47,F47,G47)=3,IF(AND(G47&gt;=0,G47&lt;=F47,OR(G47=0,H47&lt;&gt;"")),C47-G47,""),"")</x:f>
      </x:c>
      <x:c r="J47" s="36"/>
      <x:c r="K47" s="41" t="str">
        <x:f>IF(COUNT(E47:F47)=2,E47-F47,"")</x:f>
      </x:c>
      <x:c r="L47" s="41" t="str">
        <x:f>IF(COUNT(J47:K47)=2,IF(J47&gt;=0,K47-J47,""),"")</x:f>
      </x:c>
      <x:c r="M47" s="41" t="str">
        <x:f>IF(A47="","",IF(AND(COUNTIF($A$6:$A$55,A47)=1,D47&lt;&gt;"",ISNUMBER(I47),ISNUMBER(L47),L47&gt;=0),"CANDIDATE - NO AUTHORIZATION","HOLD: LEDGER / SHORTFALL"))</x:f>
      </x:c>
    </x:row>
    <x:row r="48" ht="23" customHeight="1">
      <x:c r="A48" s="38"/>
      <x:c r="B48" s="41" t="str">
        <x:f>IF(COUNTIF(ExPost!$A$6:$A$55,A48)=1,IF(ISNUMBER(INDEX(ExPost!$L$6:$L$55,MATCH(A48,ExPost!$A$6:$A$55,0))),INDEX(ExPost!$L$6:$L$55,MATCH(A48,ExPost!$A$6:$A$55,0)),""),"")</x:f>
      </x:c>
      <x:c r="C48" s="36"/>
      <x:c r="D48" s="36"/>
      <x:c r="E48" s="41" t="str">
        <x:f>IF(ISNUMBER(B48),MAX(0,B48),"")</x:f>
      </x:c>
      <x:c r="F48" s="41" t="str">
        <x:f>IF(COUNT(C48,E48)=2,IF(C48&gt;=0,MIN(C48,E48),""),"")</x:f>
      </x:c>
      <x:c r="G48" s="36"/>
      <x:c r="H48" s="36"/>
      <x:c r="I48" s="41" t="str">
        <x:f>IF(COUNT(C48,F48,G48)=3,IF(AND(G48&gt;=0,G48&lt;=F48,OR(G48=0,H48&lt;&gt;"")),C48-G48,""),"")</x:f>
      </x:c>
      <x:c r="J48" s="36"/>
      <x:c r="K48" s="41" t="str">
        <x:f>IF(COUNT(E48:F48)=2,E48-F48,"")</x:f>
      </x:c>
      <x:c r="L48" s="41" t="str">
        <x:f>IF(COUNT(J48:K48)=2,IF(J48&gt;=0,K48-J48,""),"")</x:f>
      </x:c>
      <x:c r="M48" s="41" t="str">
        <x:f>IF(A48="","",IF(AND(COUNTIF($A$6:$A$55,A48)=1,D48&lt;&gt;"",ISNUMBER(I48),ISNUMBER(L48),L48&gt;=0),"CANDIDATE - NO AUTHORIZATION","HOLD: LEDGER / SHORTFALL"))</x:f>
      </x:c>
    </x:row>
    <x:row r="49" ht="23" customHeight="1">
      <x:c r="A49" s="38"/>
      <x:c r="B49" s="41" t="str">
        <x:f>IF(COUNTIF(ExPost!$A$6:$A$55,A49)=1,IF(ISNUMBER(INDEX(ExPost!$L$6:$L$55,MATCH(A49,ExPost!$A$6:$A$55,0))),INDEX(ExPost!$L$6:$L$55,MATCH(A49,ExPost!$A$6:$A$55,0)),""),"")</x:f>
      </x:c>
      <x:c r="C49" s="36"/>
      <x:c r="D49" s="36"/>
      <x:c r="E49" s="41" t="str">
        <x:f>IF(ISNUMBER(B49),MAX(0,B49),"")</x:f>
      </x:c>
      <x:c r="F49" s="41" t="str">
        <x:f>IF(COUNT(C49,E49)=2,IF(C49&gt;=0,MIN(C49,E49),""),"")</x:f>
      </x:c>
      <x:c r="G49" s="36"/>
      <x:c r="H49" s="36"/>
      <x:c r="I49" s="41" t="str">
        <x:f>IF(COUNT(C49,F49,G49)=3,IF(AND(G49&gt;=0,G49&lt;=F49,OR(G49=0,H49&lt;&gt;"")),C49-G49,""),"")</x:f>
      </x:c>
      <x:c r="J49" s="36"/>
      <x:c r="K49" s="41" t="str">
        <x:f>IF(COUNT(E49:F49)=2,E49-F49,"")</x:f>
      </x:c>
      <x:c r="L49" s="41" t="str">
        <x:f>IF(COUNT(J49:K49)=2,IF(J49&gt;=0,K49-J49,""),"")</x:f>
      </x:c>
      <x:c r="M49" s="41" t="str">
        <x:f>IF(A49="","",IF(AND(COUNTIF($A$6:$A$55,A49)=1,D49&lt;&gt;"",ISNUMBER(I49),ISNUMBER(L49),L49&gt;=0),"CANDIDATE - NO AUTHORIZATION","HOLD: LEDGER / SHORTFALL"))</x:f>
      </x:c>
    </x:row>
    <x:row r="50" ht="23" customHeight="1">
      <x:c r="A50" s="38"/>
      <x:c r="B50" s="41" t="str">
        <x:f>IF(COUNTIF(ExPost!$A$6:$A$55,A50)=1,IF(ISNUMBER(INDEX(ExPost!$L$6:$L$55,MATCH(A50,ExPost!$A$6:$A$55,0))),INDEX(ExPost!$L$6:$L$55,MATCH(A50,ExPost!$A$6:$A$55,0)),""),"")</x:f>
      </x:c>
      <x:c r="C50" s="36"/>
      <x:c r="D50" s="36"/>
      <x:c r="E50" s="41" t="str">
        <x:f>IF(ISNUMBER(B50),MAX(0,B50),"")</x:f>
      </x:c>
      <x:c r="F50" s="41" t="str">
        <x:f>IF(COUNT(C50,E50)=2,IF(C50&gt;=0,MIN(C50,E50),""),"")</x:f>
      </x:c>
      <x:c r="G50" s="36"/>
      <x:c r="H50" s="36"/>
      <x:c r="I50" s="41" t="str">
        <x:f>IF(COUNT(C50,F50,G50)=3,IF(AND(G50&gt;=0,G50&lt;=F50,OR(G50=0,H50&lt;&gt;"")),C50-G50,""),"")</x:f>
      </x:c>
      <x:c r="J50" s="36"/>
      <x:c r="K50" s="41" t="str">
        <x:f>IF(COUNT(E50:F50)=2,E50-F50,"")</x:f>
      </x:c>
      <x:c r="L50" s="41" t="str">
        <x:f>IF(COUNT(J50:K50)=2,IF(J50&gt;=0,K50-J50,""),"")</x:f>
      </x:c>
      <x:c r="M50" s="41" t="str">
        <x:f>IF(A50="","",IF(AND(COUNTIF($A$6:$A$55,A50)=1,D50&lt;&gt;"",ISNUMBER(I50),ISNUMBER(L50),L50&gt;=0),"CANDIDATE - NO AUTHORIZATION","HOLD: LEDGER / SHORTFALL"))</x:f>
      </x:c>
    </x:row>
    <x:row r="51" ht="23" customHeight="1">
      <x:c r="A51" s="38"/>
      <x:c r="B51" s="41" t="str">
        <x:f>IF(COUNTIF(ExPost!$A$6:$A$55,A51)=1,IF(ISNUMBER(INDEX(ExPost!$L$6:$L$55,MATCH(A51,ExPost!$A$6:$A$55,0))),INDEX(ExPost!$L$6:$L$55,MATCH(A51,ExPost!$A$6:$A$55,0)),""),"")</x:f>
      </x:c>
      <x:c r="C51" s="36"/>
      <x:c r="D51" s="36"/>
      <x:c r="E51" s="41" t="str">
        <x:f>IF(ISNUMBER(B51),MAX(0,B51),"")</x:f>
      </x:c>
      <x:c r="F51" s="41" t="str">
        <x:f>IF(COUNT(C51,E51)=2,IF(C51&gt;=0,MIN(C51,E51),""),"")</x:f>
      </x:c>
      <x:c r="G51" s="36"/>
      <x:c r="H51" s="36"/>
      <x:c r="I51" s="41" t="str">
        <x:f>IF(COUNT(C51,F51,G51)=3,IF(AND(G51&gt;=0,G51&lt;=F51,OR(G51=0,H51&lt;&gt;"")),C51-G51,""),"")</x:f>
      </x:c>
      <x:c r="J51" s="36"/>
      <x:c r="K51" s="41" t="str">
        <x:f>IF(COUNT(E51:F51)=2,E51-F51,"")</x:f>
      </x:c>
      <x:c r="L51" s="41" t="str">
        <x:f>IF(COUNT(J51:K51)=2,IF(J51&gt;=0,K51-J51,""),"")</x:f>
      </x:c>
      <x:c r="M51" s="41" t="str">
        <x:f>IF(A51="","",IF(AND(COUNTIF($A$6:$A$55,A51)=1,D51&lt;&gt;"",ISNUMBER(I51),ISNUMBER(L51),L51&gt;=0),"CANDIDATE - NO AUTHORIZATION","HOLD: LEDGER / SHORTFALL"))</x:f>
      </x:c>
    </x:row>
    <x:row r="52" ht="23" customHeight="1">
      <x:c r="A52" s="38"/>
      <x:c r="B52" s="41" t="str">
        <x:f>IF(COUNTIF(ExPost!$A$6:$A$55,A52)=1,IF(ISNUMBER(INDEX(ExPost!$L$6:$L$55,MATCH(A52,ExPost!$A$6:$A$55,0))),INDEX(ExPost!$L$6:$L$55,MATCH(A52,ExPost!$A$6:$A$55,0)),""),"")</x:f>
      </x:c>
      <x:c r="C52" s="36"/>
      <x:c r="D52" s="36"/>
      <x:c r="E52" s="41" t="str">
        <x:f>IF(ISNUMBER(B52),MAX(0,B52),"")</x:f>
      </x:c>
      <x:c r="F52" s="41" t="str">
        <x:f>IF(COUNT(C52,E52)=2,IF(C52&gt;=0,MIN(C52,E52),""),"")</x:f>
      </x:c>
      <x:c r="G52" s="36"/>
      <x:c r="H52" s="36"/>
      <x:c r="I52" s="41" t="str">
        <x:f>IF(COUNT(C52,F52,G52)=3,IF(AND(G52&gt;=0,G52&lt;=F52,OR(G52=0,H52&lt;&gt;"")),C52-G52,""),"")</x:f>
      </x:c>
      <x:c r="J52" s="36"/>
      <x:c r="K52" s="41" t="str">
        <x:f>IF(COUNT(E52:F52)=2,E52-F52,"")</x:f>
      </x:c>
      <x:c r="L52" s="41" t="str">
        <x:f>IF(COUNT(J52:K52)=2,IF(J52&gt;=0,K52-J52,""),"")</x:f>
      </x:c>
      <x:c r="M52" s="41" t="str">
        <x:f>IF(A52="","",IF(AND(COUNTIF($A$6:$A$55,A52)=1,D52&lt;&gt;"",ISNUMBER(I52),ISNUMBER(L52),L52&gt;=0),"CANDIDATE - NO AUTHORIZATION","HOLD: LEDGER / SHORTFALL"))</x:f>
      </x:c>
    </x:row>
    <x:row r="53" ht="23" customHeight="1">
      <x:c r="A53" s="38"/>
      <x:c r="B53" s="41" t="str">
        <x:f>IF(COUNTIF(ExPost!$A$6:$A$55,A53)=1,IF(ISNUMBER(INDEX(ExPost!$L$6:$L$55,MATCH(A53,ExPost!$A$6:$A$55,0))),INDEX(ExPost!$L$6:$L$55,MATCH(A53,ExPost!$A$6:$A$55,0)),""),"")</x:f>
      </x:c>
      <x:c r="C53" s="36"/>
      <x:c r="D53" s="36"/>
      <x:c r="E53" s="41" t="str">
        <x:f>IF(ISNUMBER(B53),MAX(0,B53),"")</x:f>
      </x:c>
      <x:c r="F53" s="41" t="str">
        <x:f>IF(COUNT(C53,E53)=2,IF(C53&gt;=0,MIN(C53,E53),""),"")</x:f>
      </x:c>
      <x:c r="G53" s="36"/>
      <x:c r="H53" s="36"/>
      <x:c r="I53" s="41" t="str">
        <x:f>IF(COUNT(C53,F53,G53)=3,IF(AND(G53&gt;=0,G53&lt;=F53,OR(G53=0,H53&lt;&gt;"")),C53-G53,""),"")</x:f>
      </x:c>
      <x:c r="J53" s="36"/>
      <x:c r="K53" s="41" t="str">
        <x:f>IF(COUNT(E53:F53)=2,E53-F53,"")</x:f>
      </x:c>
      <x:c r="L53" s="41" t="str">
        <x:f>IF(COUNT(J53:K53)=2,IF(J53&gt;=0,K53-J53,""),"")</x:f>
      </x:c>
      <x:c r="M53" s="41" t="str">
        <x:f>IF(A53="","",IF(AND(COUNTIF($A$6:$A$55,A53)=1,D53&lt;&gt;"",ISNUMBER(I53),ISNUMBER(L53),L53&gt;=0),"CANDIDATE - NO AUTHORIZATION","HOLD: LEDGER / SHORTFALL"))</x:f>
      </x:c>
    </x:row>
    <x:row r="54" ht="23" customHeight="1">
      <x:c r="A54" s="38"/>
      <x:c r="B54" s="41" t="str">
        <x:f>IF(COUNTIF(ExPost!$A$6:$A$55,A54)=1,IF(ISNUMBER(INDEX(ExPost!$L$6:$L$55,MATCH(A54,ExPost!$A$6:$A$55,0))),INDEX(ExPost!$L$6:$L$55,MATCH(A54,ExPost!$A$6:$A$55,0)),""),"")</x:f>
      </x:c>
      <x:c r="C54" s="36"/>
      <x:c r="D54" s="36"/>
      <x:c r="E54" s="41" t="str">
        <x:f>IF(ISNUMBER(B54),MAX(0,B54),"")</x:f>
      </x:c>
      <x:c r="F54" s="41" t="str">
        <x:f>IF(COUNT(C54,E54)=2,IF(C54&gt;=0,MIN(C54,E54),""),"")</x:f>
      </x:c>
      <x:c r="G54" s="36"/>
      <x:c r="H54" s="36"/>
      <x:c r="I54" s="41" t="str">
        <x:f>IF(COUNT(C54,F54,G54)=3,IF(AND(G54&gt;=0,G54&lt;=F54,OR(G54=0,H54&lt;&gt;"")),C54-G54,""),"")</x:f>
      </x:c>
      <x:c r="J54" s="36"/>
      <x:c r="K54" s="41" t="str">
        <x:f>IF(COUNT(E54:F54)=2,E54-F54,"")</x:f>
      </x:c>
      <x:c r="L54" s="41" t="str">
        <x:f>IF(COUNT(J54:K54)=2,IF(J54&gt;=0,K54-J54,""),"")</x:f>
      </x:c>
      <x:c r="M54" s="41" t="str">
        <x:f>IF(A54="","",IF(AND(COUNTIF($A$6:$A$55,A54)=1,D54&lt;&gt;"",ISNUMBER(I54),ISNUMBER(L54),L54&gt;=0),"CANDIDATE - NO AUTHORIZATION","HOLD: LEDGER / SHORTFALL"))</x:f>
      </x:c>
    </x:row>
    <x:row r="55" ht="23" customHeight="1">
      <x:c r="A55" s="38"/>
      <x:c r="B55" s="41" t="str">
        <x:f>IF(COUNTIF(ExPost!$A$6:$A$55,A55)=1,IF(ISNUMBER(INDEX(ExPost!$L$6:$L$55,MATCH(A55,ExPost!$A$6:$A$55,0))),INDEX(ExPost!$L$6:$L$55,MATCH(A55,ExPost!$A$6:$A$55,0)),""),"")</x:f>
      </x:c>
      <x:c r="C55" s="36"/>
      <x:c r="D55" s="36"/>
      <x:c r="E55" s="41" t="str">
        <x:f>IF(ISNUMBER(B55),MAX(0,B55),"")</x:f>
      </x:c>
      <x:c r="F55" s="41" t="str">
        <x:f>IF(COUNT(C55,E55)=2,IF(C55&gt;=0,MIN(C55,E55),""),"")</x:f>
      </x:c>
      <x:c r="G55" s="36"/>
      <x:c r="H55" s="36"/>
      <x:c r="I55" s="41" t="str">
        <x:f>IF(COUNT(C55,F55,G55)=3,IF(AND(G55&gt;=0,G55&lt;=F55,OR(G55=0,H55&lt;&gt;"")),C55-G55,""),"")</x:f>
      </x:c>
      <x:c r="J55" s="36"/>
      <x:c r="K55" s="41" t="str">
        <x:f>IF(COUNT(E55:F55)=2,E55-F55,"")</x:f>
      </x:c>
      <x:c r="L55" s="41" t="str">
        <x:f>IF(COUNT(J55:K55)=2,IF(J55&gt;=0,K55-J55,""),"")</x:f>
      </x:c>
      <x:c r="M55" s="41" t="str">
        <x:f>IF(A55="","",IF(AND(COUNTIF($A$6:$A$55,A55)=1,D55&lt;&gt;"",ISNUMBER(I55),ISNUMBER(L55),L55&gt;=0),"CANDIDATE - NO AUTHORIZATION","HOLD: LEDGER / SHORTFALL"))</x:f>
      </x:c>
    </x:row>
  </x:sheetData>
  <x:mergeCells>
    <x:mergeCell ref="A1:M2"/>
    <x:mergeCell ref="A3:M4"/>
  </x:mergeCells>
  <x:conditionalFormatting sqref="M6:M55">
    <x:cfRule type="expression" dxfId="5" priority="1">
      <x:formula>LEFT(M6,4)="HOLD"</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21" t="str">
        <x:v>Negative result and liability continuity</x:v>
      </x:c>
      <x:c r="B1" s="21"/>
      <x:c r="C1" s="21"/>
      <x:c r="D1" s="21"/>
      <x:c r="E1" s="21"/>
      <x:c r="F1" s="21"/>
      <x:c r="G1" s="21"/>
      <x:c r="H1" s="21"/>
      <x:c r="I1" s="21"/>
      <x:c r="J1" s="21"/>
      <x:c r="K1" s="21"/>
      <x:c r="L1" s="21"/>
      <x:c r="M1" s="21"/>
      <x:c r="N1" s="21"/>
    </x:row>
    <x:row r="2" ht="23" customHeight="1">
      <x:c r="A2" s="21"/>
      <x:c r="B2" s="21"/>
      <x:c r="C2" s="21"/>
      <x:c r="D2" s="21"/>
      <x:c r="E2" s="21"/>
      <x:c r="F2" s="21"/>
      <x:c r="G2" s="21"/>
      <x:c r="H2" s="21"/>
      <x:c r="I2" s="21"/>
      <x:c r="J2" s="21"/>
      <x:c r="K2" s="21"/>
      <x:c r="L2" s="21"/>
      <x:c r="M2" s="21"/>
      <x:c r="N2" s="21"/>
    </x:row>
    <x:row r="3" ht="23" customHeight="1">
      <x:c r="A3" s="25" t="str">
        <x:v>F-R05 FULL_BOUND only. D and F cover disjoint portions of the same deficit; reserve designation is not cancellation. OTHER_PROFILE requires a separate explicit recurrence. Keep obligations across gaps, migration and closure.</x:v>
      </x:c>
      <x:c r="B3" s="25"/>
      <x:c r="C3" s="25"/>
      <x:c r="D3" s="25"/>
      <x:c r="E3" s="25"/>
      <x:c r="F3" s="25"/>
      <x:c r="G3" s="25"/>
      <x:c r="H3" s="25"/>
      <x:c r="I3" s="25"/>
      <x:c r="J3" s="25"/>
      <x:c r="K3" s="25"/>
      <x:c r="L3" s="25"/>
      <x:c r="M3" s="25"/>
      <x:c r="N3" s="25"/>
    </x:row>
    <x:row r="4" ht="23" customHeight="1">
      <x:c r="A4" s="25"/>
      <x:c r="B4" s="25"/>
      <x:c r="C4" s="25"/>
      <x:c r="D4" s="25"/>
      <x:c r="E4" s="25"/>
      <x:c r="F4" s="25"/>
      <x:c r="G4" s="25"/>
      <x:c r="H4" s="25"/>
      <x:c r="I4" s="25"/>
      <x:c r="J4" s="25"/>
      <x:c r="K4" s="25"/>
      <x:c r="L4" s="25"/>
      <x:c r="M4" s="25"/>
      <x:c r="N4" s="25"/>
    </x:row>
    <x:row r="5" ht="80" customHeight="1">
      <x:c r="A5" s="29" t="str">
        <x:v>Period key</x:v>
      </x:c>
      <x:c r="B5" s="29" t="str">
        <x:v>Q_low
Q_low,t
[t CO2e]</x:v>
      </x:c>
      <x:c r="C5" s="29" t="str">
        <x:v>Remaining liability
D_rem,t
[t CO2e]</x:v>
      </x:c>
      <x:c r="D5" s="29" t="str">
        <x:v>Previously charged overlap O
O_t
[t CO2e]</x:v>
      </x:c>
      <x:c r="E5" s="29" t="str">
        <x:v>Overlap evidence</x:v>
      </x:c>
      <x:c r="F5" s="29" t="str">
        <x:v>Executed reserve cancellation
C_minus,t
[t CO2e]</x:v>
      </x:c>
      <x:c r="G5" s="29" t="str">
        <x:v>Cancellation evidence</x:v>
      </x:c>
      <x:c r="H5" s="29" t="str">
        <x:v>Negative magnitude
N_minus,t
[t CO2e]</x:v>
      </x:c>
      <x:c r="I5" s="29" t="str">
        <x:v>New liability
DeltaD_minus,t
[t CO2e]</x:v>
      </x:c>
      <x:c r="J5" s="29" t="str">
        <x:v>Closing liability
D_t+1
[t CO2e]</x:v>
      </x:c>
      <x:c r="K5" s="29" t="str">
        <x:v>Applied rule</x:v>
      </x:c>
      <x:c r="L5" s="29" t="str">
        <x:v>Previous period key</x:v>
      </x:c>
      <x:c r="M5" s="29" t="str">
        <x:v>Opening continuity</x:v>
      </x:c>
      <x:c r="N5" s="29" t="str">
        <x:v>Check</x:v>
      </x:c>
      <x:c r="O5"/>
      <x:c r="P5"/>
    </x:row>
    <x:row r="6" ht="23" customHeight="1">
      <x:c r="A6" s="38"/>
      <x:c r="B6" s="41" t="str">
        <x:f>IF(COUNTIF(Settlement!$A$6:$A$55,A6)=1,IF(ISNUMBER(INDEX(Settlement!$B$6:$B$55,MATCH(A6,Settlement!$A$6:$A$55,0))),INDEX(Settlement!$B$6:$B$55,MATCH(A6,Settlement!$A$6:$A$55,0)),""),"")</x:f>
      </x:c>
      <x:c r="C6" s="41" t="str">
        <x:f>IF(COUNTIF(Settlement!$A$6:$A$55,A6)=1,IF(ISNUMBER(INDEX(Settlement!$I$6:$I$55,MATCH(A6,Settlement!$A$6:$A$55,0))),INDEX(Settlement!$I$6:$I$55,MATCH(A6,Settlement!$A$6:$A$55,0)),""),"")</x:f>
      </x:c>
      <x:c r="D6" s="36"/>
      <x:c r="E6" s="36"/>
      <x:c r="F6" s="36"/>
      <x:c r="G6" s="36"/>
      <x:c r="H6" s="41" t="str">
        <x:f>IF(ISNUMBER(B6),MAX(0,-B6),"")</x:f>
      </x:c>
      <x:c r="I6" s="41" t="str">
        <x:f>IF(COUNT(D6,F6,H6)=3,IF(AND(K6="FULL_BOUND",Profile!$B$13&lt;&gt;"",D6&gt;=0,F6&gt;=0,D6+F6&lt;=H6,OR(D6=0,E6&lt;&gt;""),OR(F6=0,G6&lt;&gt;"")),H6-D6-F6,""),"")</x:f>
      </x:c>
      <x:c r="J6" s="41" t="str">
        <x:f>IF(COUNT(C6,I6)=2,C6+I6,"")</x:f>
      </x:c>
      <x:c r="K6" s="41" t="str">
        <x:f>IF(A6="","",Profile!$B$12)</x:f>
      </x:c>
      <x:c r="L6" s="36"/>
      <x:c r="M6" s="41" t="str">
        <x:f>IF(A6="","",IF(L6="","OPENING EVIDENCE REQUIRED",IF(OR(L6=A6,COUNTIF($A$6:$A$55,L6)&lt;&gt;1,COUNTIF(Settlement!$A$6:$A$55,A6)&lt;&gt;1),"HOLD: PERIOD KEY",IF(AND(ISNUMBER(INDEX($J$6:$J$55,MATCH(L6,$A$6:$A$55,0))),ISNUMBER(INDEX(Settlement!$C$6:$C$55,MATCH(A6,Settlement!$A$6:$A$55,0)))),IF(ABS(INDEX($J$6:$J$55,MATCH(L6,$A$6:$A$55,0))-INDEX(Settlement!$C$6:$C$55,MATCH(A6,Settlement!$A$6:$A$55,0)))&lt;=Profile!$B$18,"MATCH","HOLD: OPENING DIFFERENCE"),"HOLD: MISSING BALANCE"))))</x:f>
      </x:c>
      <x:c r="N6" s="41" t="str">
        <x:f>IF(A6="","",IF(AND(COUNTIF($A$6:$A$55,A6)=1,ISNUMBER(J6),LEFT(M6,4)&lt;&gt;"HOLD"),"CALCULATED - REVIEW LEDGER","HOLD: PROFILE / POSTING"))</x:f>
      </x:c>
    </x:row>
    <x:row r="7" ht="23" customHeight="1">
      <x:c r="A7" s="38"/>
      <x:c r="B7" s="41" t="str">
        <x:f>IF(COUNTIF(Settlement!$A$6:$A$55,A7)=1,IF(ISNUMBER(INDEX(Settlement!$B$6:$B$55,MATCH(A7,Settlement!$A$6:$A$55,0))),INDEX(Settlement!$B$6:$B$55,MATCH(A7,Settlement!$A$6:$A$55,0)),""),"")</x:f>
      </x:c>
      <x:c r="C7" s="41" t="str">
        <x:f>IF(COUNTIF(Settlement!$A$6:$A$55,A7)=1,IF(ISNUMBER(INDEX(Settlement!$I$6:$I$55,MATCH(A7,Settlement!$A$6:$A$55,0))),INDEX(Settlement!$I$6:$I$55,MATCH(A7,Settlement!$A$6:$A$55,0)),""),"")</x:f>
      </x:c>
      <x:c r="D7" s="36"/>
      <x:c r="E7" s="36"/>
      <x:c r="F7" s="36"/>
      <x:c r="G7" s="36"/>
      <x:c r="H7" s="41" t="str">
        <x:f>IF(ISNUMBER(B7),MAX(0,-B7),"")</x:f>
      </x:c>
      <x:c r="I7" s="41" t="str">
        <x:f>IF(COUNT(D7,F7,H7)=3,IF(AND(K7="FULL_BOUND",Profile!$B$13&lt;&gt;"",D7&gt;=0,F7&gt;=0,D7+F7&lt;=H7,OR(D7=0,E7&lt;&gt;""),OR(F7=0,G7&lt;&gt;"")),H7-D7-F7,""),"")</x:f>
      </x:c>
      <x:c r="J7" s="41" t="str">
        <x:f>IF(COUNT(C7,I7)=2,C7+I7,"")</x:f>
      </x:c>
      <x:c r="K7" s="41" t="str">
        <x:f>IF(A7="","",Profile!$B$12)</x:f>
      </x:c>
      <x:c r="L7" s="36"/>
      <x:c r="M7" s="41" t="str">
        <x:f>IF(A7="","",IF(L7="","OPENING EVIDENCE REQUIRED",IF(OR(L7=A7,COUNTIF($A$6:$A$55,L7)&lt;&gt;1,COUNTIF(Settlement!$A$6:$A$55,A7)&lt;&gt;1),"HOLD: PERIOD KEY",IF(AND(ISNUMBER(INDEX($J$6:$J$55,MATCH(L7,$A$6:$A$55,0))),ISNUMBER(INDEX(Settlement!$C$6:$C$55,MATCH(A7,Settlement!$A$6:$A$55,0)))),IF(ABS(INDEX($J$6:$J$55,MATCH(L7,$A$6:$A$55,0))-INDEX(Settlement!$C$6:$C$55,MATCH(A7,Settlement!$A$6:$A$55,0)))&lt;=Profile!$B$18,"MATCH","HOLD: OPENING DIFFERENCE"),"HOLD: MISSING BALANCE"))))</x:f>
      </x:c>
      <x:c r="N7" s="41" t="str">
        <x:f>IF(A7="","",IF(AND(COUNTIF($A$6:$A$55,A7)=1,ISNUMBER(J7),LEFT(M7,4)&lt;&gt;"HOLD"),"CALCULATED - REVIEW LEDGER","HOLD: PROFILE / POSTING"))</x:f>
      </x:c>
    </x:row>
    <x:row r="8" ht="23" customHeight="1">
      <x:c r="A8" s="38"/>
      <x:c r="B8" s="41" t="str">
        <x:f>IF(COUNTIF(Settlement!$A$6:$A$55,A8)=1,IF(ISNUMBER(INDEX(Settlement!$B$6:$B$55,MATCH(A8,Settlement!$A$6:$A$55,0))),INDEX(Settlement!$B$6:$B$55,MATCH(A8,Settlement!$A$6:$A$55,0)),""),"")</x:f>
      </x:c>
      <x:c r="C8" s="41" t="str">
        <x:f>IF(COUNTIF(Settlement!$A$6:$A$55,A8)=1,IF(ISNUMBER(INDEX(Settlement!$I$6:$I$55,MATCH(A8,Settlement!$A$6:$A$55,0))),INDEX(Settlement!$I$6:$I$55,MATCH(A8,Settlement!$A$6:$A$55,0)),""),"")</x:f>
      </x:c>
      <x:c r="D8" s="36"/>
      <x:c r="E8" s="36"/>
      <x:c r="F8" s="36"/>
      <x:c r="G8" s="36"/>
      <x:c r="H8" s="41" t="str">
        <x:f>IF(ISNUMBER(B8),MAX(0,-B8),"")</x:f>
      </x:c>
      <x:c r="I8" s="41" t="str">
        <x:f>IF(COUNT(D8,F8,H8)=3,IF(AND(K8="FULL_BOUND",Profile!$B$13&lt;&gt;"",D8&gt;=0,F8&gt;=0,D8+F8&lt;=H8,OR(D8=0,E8&lt;&gt;""),OR(F8=0,G8&lt;&gt;"")),H8-D8-F8,""),"")</x:f>
      </x:c>
      <x:c r="J8" s="41" t="str">
        <x:f>IF(COUNT(C8,I8)=2,C8+I8,"")</x:f>
      </x:c>
      <x:c r="K8" s="41" t="str">
        <x:f>IF(A8="","",Profile!$B$12)</x:f>
      </x:c>
      <x:c r="L8" s="36"/>
      <x:c r="M8" s="41" t="str">
        <x:f>IF(A8="","",IF(L8="","OPENING EVIDENCE REQUIRED",IF(OR(L8=A8,COUNTIF($A$6:$A$55,L8)&lt;&gt;1,COUNTIF(Settlement!$A$6:$A$55,A8)&lt;&gt;1),"HOLD: PERIOD KEY",IF(AND(ISNUMBER(INDEX($J$6:$J$55,MATCH(L8,$A$6:$A$55,0))),ISNUMBER(INDEX(Settlement!$C$6:$C$55,MATCH(A8,Settlement!$A$6:$A$55,0)))),IF(ABS(INDEX($J$6:$J$55,MATCH(L8,$A$6:$A$55,0))-INDEX(Settlement!$C$6:$C$55,MATCH(A8,Settlement!$A$6:$A$55,0)))&lt;=Profile!$B$18,"MATCH","HOLD: OPENING DIFFERENCE"),"HOLD: MISSING BALANCE"))))</x:f>
      </x:c>
      <x:c r="N8" s="41" t="str">
        <x:f>IF(A8="","",IF(AND(COUNTIF($A$6:$A$55,A8)=1,ISNUMBER(J8),LEFT(M8,4)&lt;&gt;"HOLD"),"CALCULATED - REVIEW LEDGER","HOLD: PROFILE / POSTING"))</x:f>
      </x:c>
    </x:row>
    <x:row r="9" ht="23" customHeight="1">
      <x:c r="A9" s="38"/>
      <x:c r="B9" s="41" t="str">
        <x:f>IF(COUNTIF(Settlement!$A$6:$A$55,A9)=1,IF(ISNUMBER(INDEX(Settlement!$B$6:$B$55,MATCH(A9,Settlement!$A$6:$A$55,0))),INDEX(Settlement!$B$6:$B$55,MATCH(A9,Settlement!$A$6:$A$55,0)),""),"")</x:f>
      </x:c>
      <x:c r="C9" s="41" t="str">
        <x:f>IF(COUNTIF(Settlement!$A$6:$A$55,A9)=1,IF(ISNUMBER(INDEX(Settlement!$I$6:$I$55,MATCH(A9,Settlement!$A$6:$A$55,0))),INDEX(Settlement!$I$6:$I$55,MATCH(A9,Settlement!$A$6:$A$55,0)),""),"")</x:f>
      </x:c>
      <x:c r="D9" s="36"/>
      <x:c r="E9" s="36"/>
      <x:c r="F9" s="36"/>
      <x:c r="G9" s="36"/>
      <x:c r="H9" s="41" t="str">
        <x:f>IF(ISNUMBER(B9),MAX(0,-B9),"")</x:f>
      </x:c>
      <x:c r="I9" s="41" t="str">
        <x:f>IF(COUNT(D9,F9,H9)=3,IF(AND(K9="FULL_BOUND",Profile!$B$13&lt;&gt;"",D9&gt;=0,F9&gt;=0,D9+F9&lt;=H9,OR(D9=0,E9&lt;&gt;""),OR(F9=0,G9&lt;&gt;"")),H9-D9-F9,""),"")</x:f>
      </x:c>
      <x:c r="J9" s="41" t="str">
        <x:f>IF(COUNT(C9,I9)=2,C9+I9,"")</x:f>
      </x:c>
      <x:c r="K9" s="41" t="str">
        <x:f>IF(A9="","",Profile!$B$12)</x:f>
      </x:c>
      <x:c r="L9" s="36"/>
      <x:c r="M9" s="41" t="str">
        <x:f>IF(A9="","",IF(L9="","OPENING EVIDENCE REQUIRED",IF(OR(L9=A9,COUNTIF($A$6:$A$55,L9)&lt;&gt;1,COUNTIF(Settlement!$A$6:$A$55,A9)&lt;&gt;1),"HOLD: PERIOD KEY",IF(AND(ISNUMBER(INDEX($J$6:$J$55,MATCH(L9,$A$6:$A$55,0))),ISNUMBER(INDEX(Settlement!$C$6:$C$55,MATCH(A9,Settlement!$A$6:$A$55,0)))),IF(ABS(INDEX($J$6:$J$55,MATCH(L9,$A$6:$A$55,0))-INDEX(Settlement!$C$6:$C$55,MATCH(A9,Settlement!$A$6:$A$55,0)))&lt;=Profile!$B$18,"MATCH","HOLD: OPENING DIFFERENCE"),"HOLD: MISSING BALANCE"))))</x:f>
      </x:c>
      <x:c r="N9" s="41" t="str">
        <x:f>IF(A9="","",IF(AND(COUNTIF($A$6:$A$55,A9)=1,ISNUMBER(J9),LEFT(M9,4)&lt;&gt;"HOLD"),"CALCULATED - REVIEW LEDGER","HOLD: PROFILE / POSTING"))</x:f>
      </x:c>
    </x:row>
    <x:row r="10" ht="23" customHeight="1">
      <x:c r="A10" s="38"/>
      <x:c r="B10" s="41" t="str">
        <x:f>IF(COUNTIF(Settlement!$A$6:$A$55,A10)=1,IF(ISNUMBER(INDEX(Settlement!$B$6:$B$55,MATCH(A10,Settlement!$A$6:$A$55,0))),INDEX(Settlement!$B$6:$B$55,MATCH(A10,Settlement!$A$6:$A$55,0)),""),"")</x:f>
      </x:c>
      <x:c r="C10" s="41" t="str">
        <x:f>IF(COUNTIF(Settlement!$A$6:$A$55,A10)=1,IF(ISNUMBER(INDEX(Settlement!$I$6:$I$55,MATCH(A10,Settlement!$A$6:$A$55,0))),INDEX(Settlement!$I$6:$I$55,MATCH(A10,Settlement!$A$6:$A$55,0)),""),"")</x:f>
      </x:c>
      <x:c r="D10" s="36"/>
      <x:c r="E10" s="36"/>
      <x:c r="F10" s="36"/>
      <x:c r="G10" s="36"/>
      <x:c r="H10" s="41" t="str">
        <x:f>IF(ISNUMBER(B10),MAX(0,-B10),"")</x:f>
      </x:c>
      <x:c r="I10" s="41" t="str">
        <x:f>IF(COUNT(D10,F10,H10)=3,IF(AND(K10="FULL_BOUND",Profile!$B$13&lt;&gt;"",D10&gt;=0,F10&gt;=0,D10+F10&lt;=H10,OR(D10=0,E10&lt;&gt;""),OR(F10=0,G10&lt;&gt;"")),H10-D10-F10,""),"")</x:f>
      </x:c>
      <x:c r="J10" s="41" t="str">
        <x:f>IF(COUNT(C10,I10)=2,C10+I10,"")</x:f>
      </x:c>
      <x:c r="K10" s="41" t="str">
        <x:f>IF(A10="","",Profile!$B$12)</x:f>
      </x:c>
      <x:c r="L10" s="36"/>
      <x:c r="M10" s="41" t="str">
        <x:f>IF(A10="","",IF(L10="","OPENING EVIDENCE REQUIRED",IF(OR(L10=A10,COUNTIF($A$6:$A$55,L10)&lt;&gt;1,COUNTIF(Settlement!$A$6:$A$55,A10)&lt;&gt;1),"HOLD: PERIOD KEY",IF(AND(ISNUMBER(INDEX($J$6:$J$55,MATCH(L10,$A$6:$A$55,0))),ISNUMBER(INDEX(Settlement!$C$6:$C$55,MATCH(A10,Settlement!$A$6:$A$55,0)))),IF(ABS(INDEX($J$6:$J$55,MATCH(L10,$A$6:$A$55,0))-INDEX(Settlement!$C$6:$C$55,MATCH(A10,Settlement!$A$6:$A$55,0)))&lt;=Profile!$B$18,"MATCH","HOLD: OPENING DIFFERENCE"),"HOLD: MISSING BALANCE"))))</x:f>
      </x:c>
      <x:c r="N10" s="41" t="str">
        <x:f>IF(A10="","",IF(AND(COUNTIF($A$6:$A$55,A10)=1,ISNUMBER(J10),LEFT(M10,4)&lt;&gt;"HOLD"),"CALCULATED - REVIEW LEDGER","HOLD: PROFILE / POSTING"))</x:f>
      </x:c>
    </x:row>
    <x:row r="11" ht="23" customHeight="1">
      <x:c r="A11" s="38"/>
      <x:c r="B11" s="41" t="str">
        <x:f>IF(COUNTIF(Settlement!$A$6:$A$55,A11)=1,IF(ISNUMBER(INDEX(Settlement!$B$6:$B$55,MATCH(A11,Settlement!$A$6:$A$55,0))),INDEX(Settlement!$B$6:$B$55,MATCH(A11,Settlement!$A$6:$A$55,0)),""),"")</x:f>
      </x:c>
      <x:c r="C11" s="41" t="str">
        <x:f>IF(COUNTIF(Settlement!$A$6:$A$55,A11)=1,IF(ISNUMBER(INDEX(Settlement!$I$6:$I$55,MATCH(A11,Settlement!$A$6:$A$55,0))),INDEX(Settlement!$I$6:$I$55,MATCH(A11,Settlement!$A$6:$A$55,0)),""),"")</x:f>
      </x:c>
      <x:c r="D11" s="36"/>
      <x:c r="E11" s="36"/>
      <x:c r="F11" s="36"/>
      <x:c r="G11" s="36"/>
      <x:c r="H11" s="41" t="str">
        <x:f>IF(ISNUMBER(B11),MAX(0,-B11),"")</x:f>
      </x:c>
      <x:c r="I11" s="41" t="str">
        <x:f>IF(COUNT(D11,F11,H11)=3,IF(AND(K11="FULL_BOUND",Profile!$B$13&lt;&gt;"",D11&gt;=0,F11&gt;=0,D11+F11&lt;=H11,OR(D11=0,E11&lt;&gt;""),OR(F11=0,G11&lt;&gt;"")),H11-D11-F11,""),"")</x:f>
      </x:c>
      <x:c r="J11" s="41" t="str">
        <x:f>IF(COUNT(C11,I11)=2,C11+I11,"")</x:f>
      </x:c>
      <x:c r="K11" s="41" t="str">
        <x:f>IF(A11="","",Profile!$B$12)</x:f>
      </x:c>
      <x:c r="L11" s="36"/>
      <x:c r="M11" s="41" t="str">
        <x:f>IF(A11="","",IF(L11="","OPENING EVIDENCE REQUIRED",IF(OR(L11=A11,COUNTIF($A$6:$A$55,L11)&lt;&gt;1,COUNTIF(Settlement!$A$6:$A$55,A11)&lt;&gt;1),"HOLD: PERIOD KEY",IF(AND(ISNUMBER(INDEX($J$6:$J$55,MATCH(L11,$A$6:$A$55,0))),ISNUMBER(INDEX(Settlement!$C$6:$C$55,MATCH(A11,Settlement!$A$6:$A$55,0)))),IF(ABS(INDEX($J$6:$J$55,MATCH(L11,$A$6:$A$55,0))-INDEX(Settlement!$C$6:$C$55,MATCH(A11,Settlement!$A$6:$A$55,0)))&lt;=Profile!$B$18,"MATCH","HOLD: OPENING DIFFERENCE"),"HOLD: MISSING BALANCE"))))</x:f>
      </x:c>
      <x:c r="N11" s="41" t="str">
        <x:f>IF(A11="","",IF(AND(COUNTIF($A$6:$A$55,A11)=1,ISNUMBER(J11),LEFT(M11,4)&lt;&gt;"HOLD"),"CALCULATED - REVIEW LEDGER","HOLD: PROFILE / POSTING"))</x:f>
      </x:c>
    </x:row>
    <x:row r="12" ht="23" customHeight="1">
      <x:c r="A12" s="38"/>
      <x:c r="B12" s="41" t="str">
        <x:f>IF(COUNTIF(Settlement!$A$6:$A$55,A12)=1,IF(ISNUMBER(INDEX(Settlement!$B$6:$B$55,MATCH(A12,Settlement!$A$6:$A$55,0))),INDEX(Settlement!$B$6:$B$55,MATCH(A12,Settlement!$A$6:$A$55,0)),""),"")</x:f>
      </x:c>
      <x:c r="C12" s="41" t="str">
        <x:f>IF(COUNTIF(Settlement!$A$6:$A$55,A12)=1,IF(ISNUMBER(INDEX(Settlement!$I$6:$I$55,MATCH(A12,Settlement!$A$6:$A$55,0))),INDEX(Settlement!$I$6:$I$55,MATCH(A12,Settlement!$A$6:$A$55,0)),""),"")</x:f>
      </x:c>
      <x:c r="D12" s="36"/>
      <x:c r="E12" s="36"/>
      <x:c r="F12" s="36"/>
      <x:c r="G12" s="36"/>
      <x:c r="H12" s="41" t="str">
        <x:f>IF(ISNUMBER(B12),MAX(0,-B12),"")</x:f>
      </x:c>
      <x:c r="I12" s="41" t="str">
        <x:f>IF(COUNT(D12,F12,H12)=3,IF(AND(K12="FULL_BOUND",Profile!$B$13&lt;&gt;"",D12&gt;=0,F12&gt;=0,D12+F12&lt;=H12,OR(D12=0,E12&lt;&gt;""),OR(F12=0,G12&lt;&gt;"")),H12-D12-F12,""),"")</x:f>
      </x:c>
      <x:c r="J12" s="41" t="str">
        <x:f>IF(COUNT(C12,I12)=2,C12+I12,"")</x:f>
      </x:c>
      <x:c r="K12" s="41" t="str">
        <x:f>IF(A12="","",Profile!$B$12)</x:f>
      </x:c>
      <x:c r="L12" s="36"/>
      <x:c r="M12" s="41" t="str">
        <x:f>IF(A12="","",IF(L12="","OPENING EVIDENCE REQUIRED",IF(OR(L12=A12,COUNTIF($A$6:$A$55,L12)&lt;&gt;1,COUNTIF(Settlement!$A$6:$A$55,A12)&lt;&gt;1),"HOLD: PERIOD KEY",IF(AND(ISNUMBER(INDEX($J$6:$J$55,MATCH(L12,$A$6:$A$55,0))),ISNUMBER(INDEX(Settlement!$C$6:$C$55,MATCH(A12,Settlement!$A$6:$A$55,0)))),IF(ABS(INDEX($J$6:$J$55,MATCH(L12,$A$6:$A$55,0))-INDEX(Settlement!$C$6:$C$55,MATCH(A12,Settlement!$A$6:$A$55,0)))&lt;=Profile!$B$18,"MATCH","HOLD: OPENING DIFFERENCE"),"HOLD: MISSING BALANCE"))))</x:f>
      </x:c>
      <x:c r="N12" s="41" t="str">
        <x:f>IF(A12="","",IF(AND(COUNTIF($A$6:$A$55,A12)=1,ISNUMBER(J12),LEFT(M12,4)&lt;&gt;"HOLD"),"CALCULATED - REVIEW LEDGER","HOLD: PROFILE / POSTING"))</x:f>
      </x:c>
    </x:row>
    <x:row r="13" ht="23" customHeight="1">
      <x:c r="A13" s="38"/>
      <x:c r="B13" s="41" t="str">
        <x:f>IF(COUNTIF(Settlement!$A$6:$A$55,A13)=1,IF(ISNUMBER(INDEX(Settlement!$B$6:$B$55,MATCH(A13,Settlement!$A$6:$A$55,0))),INDEX(Settlement!$B$6:$B$55,MATCH(A13,Settlement!$A$6:$A$55,0)),""),"")</x:f>
      </x:c>
      <x:c r="C13" s="41" t="str">
        <x:f>IF(COUNTIF(Settlement!$A$6:$A$55,A13)=1,IF(ISNUMBER(INDEX(Settlement!$I$6:$I$55,MATCH(A13,Settlement!$A$6:$A$55,0))),INDEX(Settlement!$I$6:$I$55,MATCH(A13,Settlement!$A$6:$A$55,0)),""),"")</x:f>
      </x:c>
      <x:c r="D13" s="36"/>
      <x:c r="E13" s="36"/>
      <x:c r="F13" s="36"/>
      <x:c r="G13" s="36"/>
      <x:c r="H13" s="41" t="str">
        <x:f>IF(ISNUMBER(B13),MAX(0,-B13),"")</x:f>
      </x:c>
      <x:c r="I13" s="41" t="str">
        <x:f>IF(COUNT(D13,F13,H13)=3,IF(AND(K13="FULL_BOUND",Profile!$B$13&lt;&gt;"",D13&gt;=0,F13&gt;=0,D13+F13&lt;=H13,OR(D13=0,E13&lt;&gt;""),OR(F13=0,G13&lt;&gt;"")),H13-D13-F13,""),"")</x:f>
      </x:c>
      <x:c r="J13" s="41" t="str">
        <x:f>IF(COUNT(C13,I13)=2,C13+I13,"")</x:f>
      </x:c>
      <x:c r="K13" s="41" t="str">
        <x:f>IF(A13="","",Profile!$B$12)</x:f>
      </x:c>
      <x:c r="L13" s="36"/>
      <x:c r="M13" s="41" t="str">
        <x:f>IF(A13="","",IF(L13="","OPENING EVIDENCE REQUIRED",IF(OR(L13=A13,COUNTIF($A$6:$A$55,L13)&lt;&gt;1,COUNTIF(Settlement!$A$6:$A$55,A13)&lt;&gt;1),"HOLD: PERIOD KEY",IF(AND(ISNUMBER(INDEX($J$6:$J$55,MATCH(L13,$A$6:$A$55,0))),ISNUMBER(INDEX(Settlement!$C$6:$C$55,MATCH(A13,Settlement!$A$6:$A$55,0)))),IF(ABS(INDEX($J$6:$J$55,MATCH(L13,$A$6:$A$55,0))-INDEX(Settlement!$C$6:$C$55,MATCH(A13,Settlement!$A$6:$A$55,0)))&lt;=Profile!$B$18,"MATCH","HOLD: OPENING DIFFERENCE"),"HOLD: MISSING BALANCE"))))</x:f>
      </x:c>
      <x:c r="N13" s="41" t="str">
        <x:f>IF(A13="","",IF(AND(COUNTIF($A$6:$A$55,A13)=1,ISNUMBER(J13),LEFT(M13,4)&lt;&gt;"HOLD"),"CALCULATED - REVIEW LEDGER","HOLD: PROFILE / POSTING"))</x:f>
      </x:c>
    </x:row>
    <x:row r="14" ht="23" customHeight="1">
      <x:c r="A14" s="38"/>
      <x:c r="B14" s="41" t="str">
        <x:f>IF(COUNTIF(Settlement!$A$6:$A$55,A14)=1,IF(ISNUMBER(INDEX(Settlement!$B$6:$B$55,MATCH(A14,Settlement!$A$6:$A$55,0))),INDEX(Settlement!$B$6:$B$55,MATCH(A14,Settlement!$A$6:$A$55,0)),""),"")</x:f>
      </x:c>
      <x:c r="C14" s="41" t="str">
        <x:f>IF(COUNTIF(Settlement!$A$6:$A$55,A14)=1,IF(ISNUMBER(INDEX(Settlement!$I$6:$I$55,MATCH(A14,Settlement!$A$6:$A$55,0))),INDEX(Settlement!$I$6:$I$55,MATCH(A14,Settlement!$A$6:$A$55,0)),""),"")</x:f>
      </x:c>
      <x:c r="D14" s="36"/>
      <x:c r="E14" s="36"/>
      <x:c r="F14" s="36"/>
      <x:c r="G14" s="36"/>
      <x:c r="H14" s="41" t="str">
        <x:f>IF(ISNUMBER(B14),MAX(0,-B14),"")</x:f>
      </x:c>
      <x:c r="I14" s="41" t="str">
        <x:f>IF(COUNT(D14,F14,H14)=3,IF(AND(K14="FULL_BOUND",Profile!$B$13&lt;&gt;"",D14&gt;=0,F14&gt;=0,D14+F14&lt;=H14,OR(D14=0,E14&lt;&gt;""),OR(F14=0,G14&lt;&gt;"")),H14-D14-F14,""),"")</x:f>
      </x:c>
      <x:c r="J14" s="41" t="str">
        <x:f>IF(COUNT(C14,I14)=2,C14+I14,"")</x:f>
      </x:c>
      <x:c r="K14" s="41" t="str">
        <x:f>IF(A14="","",Profile!$B$12)</x:f>
      </x:c>
      <x:c r="L14" s="36"/>
      <x:c r="M14" s="41" t="str">
        <x:f>IF(A14="","",IF(L14="","OPENING EVIDENCE REQUIRED",IF(OR(L14=A14,COUNTIF($A$6:$A$55,L14)&lt;&gt;1,COUNTIF(Settlement!$A$6:$A$55,A14)&lt;&gt;1),"HOLD: PERIOD KEY",IF(AND(ISNUMBER(INDEX($J$6:$J$55,MATCH(L14,$A$6:$A$55,0))),ISNUMBER(INDEX(Settlement!$C$6:$C$55,MATCH(A14,Settlement!$A$6:$A$55,0)))),IF(ABS(INDEX($J$6:$J$55,MATCH(L14,$A$6:$A$55,0))-INDEX(Settlement!$C$6:$C$55,MATCH(A14,Settlement!$A$6:$A$55,0)))&lt;=Profile!$B$18,"MATCH","HOLD: OPENING DIFFERENCE"),"HOLD: MISSING BALANCE"))))</x:f>
      </x:c>
      <x:c r="N14" s="41" t="str">
        <x:f>IF(A14="","",IF(AND(COUNTIF($A$6:$A$55,A14)=1,ISNUMBER(J14),LEFT(M14,4)&lt;&gt;"HOLD"),"CALCULATED - REVIEW LEDGER","HOLD: PROFILE / POSTING"))</x:f>
      </x:c>
    </x:row>
    <x:row r="15" ht="23" customHeight="1">
      <x:c r="A15" s="38"/>
      <x:c r="B15" s="41" t="str">
        <x:f>IF(COUNTIF(Settlement!$A$6:$A$55,A15)=1,IF(ISNUMBER(INDEX(Settlement!$B$6:$B$55,MATCH(A15,Settlement!$A$6:$A$55,0))),INDEX(Settlement!$B$6:$B$55,MATCH(A15,Settlement!$A$6:$A$55,0)),""),"")</x:f>
      </x:c>
      <x:c r="C15" s="41" t="str">
        <x:f>IF(COUNTIF(Settlement!$A$6:$A$55,A15)=1,IF(ISNUMBER(INDEX(Settlement!$I$6:$I$55,MATCH(A15,Settlement!$A$6:$A$55,0))),INDEX(Settlement!$I$6:$I$55,MATCH(A15,Settlement!$A$6:$A$55,0)),""),"")</x:f>
      </x:c>
      <x:c r="D15" s="36"/>
      <x:c r="E15" s="36"/>
      <x:c r="F15" s="36"/>
      <x:c r="G15" s="36"/>
      <x:c r="H15" s="41" t="str">
        <x:f>IF(ISNUMBER(B15),MAX(0,-B15),"")</x:f>
      </x:c>
      <x:c r="I15" s="41" t="str">
        <x:f>IF(COUNT(D15,F15,H15)=3,IF(AND(K15="FULL_BOUND",Profile!$B$13&lt;&gt;"",D15&gt;=0,F15&gt;=0,D15+F15&lt;=H15,OR(D15=0,E15&lt;&gt;""),OR(F15=0,G15&lt;&gt;"")),H15-D15-F15,""),"")</x:f>
      </x:c>
      <x:c r="J15" s="41" t="str">
        <x:f>IF(COUNT(C15,I15)=2,C15+I15,"")</x:f>
      </x:c>
      <x:c r="K15" s="41" t="str">
        <x:f>IF(A15="","",Profile!$B$12)</x:f>
      </x:c>
      <x:c r="L15" s="36"/>
      <x:c r="M15" s="41" t="str">
        <x:f>IF(A15="","",IF(L15="","OPENING EVIDENCE REQUIRED",IF(OR(L15=A15,COUNTIF($A$6:$A$55,L15)&lt;&gt;1,COUNTIF(Settlement!$A$6:$A$55,A15)&lt;&gt;1),"HOLD: PERIOD KEY",IF(AND(ISNUMBER(INDEX($J$6:$J$55,MATCH(L15,$A$6:$A$55,0))),ISNUMBER(INDEX(Settlement!$C$6:$C$55,MATCH(A15,Settlement!$A$6:$A$55,0)))),IF(ABS(INDEX($J$6:$J$55,MATCH(L15,$A$6:$A$55,0))-INDEX(Settlement!$C$6:$C$55,MATCH(A15,Settlement!$A$6:$A$55,0)))&lt;=Profile!$B$18,"MATCH","HOLD: OPENING DIFFERENCE"),"HOLD: MISSING BALANCE"))))</x:f>
      </x:c>
      <x:c r="N15" s="41" t="str">
        <x:f>IF(A15="","",IF(AND(COUNTIF($A$6:$A$55,A15)=1,ISNUMBER(J15),LEFT(M15,4)&lt;&gt;"HOLD"),"CALCULATED - REVIEW LEDGER","HOLD: PROFILE / POSTING"))</x:f>
      </x:c>
    </x:row>
    <x:row r="16" ht="23" customHeight="1">
      <x:c r="A16" s="38"/>
      <x:c r="B16" s="41" t="str">
        <x:f>IF(COUNTIF(Settlement!$A$6:$A$55,A16)=1,IF(ISNUMBER(INDEX(Settlement!$B$6:$B$55,MATCH(A16,Settlement!$A$6:$A$55,0))),INDEX(Settlement!$B$6:$B$55,MATCH(A16,Settlement!$A$6:$A$55,0)),""),"")</x:f>
      </x:c>
      <x:c r="C16" s="41" t="str">
        <x:f>IF(COUNTIF(Settlement!$A$6:$A$55,A16)=1,IF(ISNUMBER(INDEX(Settlement!$I$6:$I$55,MATCH(A16,Settlement!$A$6:$A$55,0))),INDEX(Settlement!$I$6:$I$55,MATCH(A16,Settlement!$A$6:$A$55,0)),""),"")</x:f>
      </x:c>
      <x:c r="D16" s="36"/>
      <x:c r="E16" s="36"/>
      <x:c r="F16" s="36"/>
      <x:c r="G16" s="36"/>
      <x:c r="H16" s="41" t="str">
        <x:f>IF(ISNUMBER(B16),MAX(0,-B16),"")</x:f>
      </x:c>
      <x:c r="I16" s="41" t="str">
        <x:f>IF(COUNT(D16,F16,H16)=3,IF(AND(K16="FULL_BOUND",Profile!$B$13&lt;&gt;"",D16&gt;=0,F16&gt;=0,D16+F16&lt;=H16,OR(D16=0,E16&lt;&gt;""),OR(F16=0,G16&lt;&gt;"")),H16-D16-F16,""),"")</x:f>
      </x:c>
      <x:c r="J16" s="41" t="str">
        <x:f>IF(COUNT(C16,I16)=2,C16+I16,"")</x:f>
      </x:c>
      <x:c r="K16" s="41" t="str">
        <x:f>IF(A16="","",Profile!$B$12)</x:f>
      </x:c>
      <x:c r="L16" s="36"/>
      <x:c r="M16" s="41" t="str">
        <x:f>IF(A16="","",IF(L16="","OPENING EVIDENCE REQUIRED",IF(OR(L16=A16,COUNTIF($A$6:$A$55,L16)&lt;&gt;1,COUNTIF(Settlement!$A$6:$A$55,A16)&lt;&gt;1),"HOLD: PERIOD KEY",IF(AND(ISNUMBER(INDEX($J$6:$J$55,MATCH(L16,$A$6:$A$55,0))),ISNUMBER(INDEX(Settlement!$C$6:$C$55,MATCH(A16,Settlement!$A$6:$A$55,0)))),IF(ABS(INDEX($J$6:$J$55,MATCH(L16,$A$6:$A$55,0))-INDEX(Settlement!$C$6:$C$55,MATCH(A16,Settlement!$A$6:$A$55,0)))&lt;=Profile!$B$18,"MATCH","HOLD: OPENING DIFFERENCE"),"HOLD: MISSING BALANCE"))))</x:f>
      </x:c>
      <x:c r="N16" s="41" t="str">
        <x:f>IF(A16="","",IF(AND(COUNTIF($A$6:$A$55,A16)=1,ISNUMBER(J16),LEFT(M16,4)&lt;&gt;"HOLD"),"CALCULATED - REVIEW LEDGER","HOLD: PROFILE / POSTING"))</x:f>
      </x:c>
    </x:row>
    <x:row r="17" ht="23" customHeight="1">
      <x:c r="A17" s="38"/>
      <x:c r="B17" s="41" t="str">
        <x:f>IF(COUNTIF(Settlement!$A$6:$A$55,A17)=1,IF(ISNUMBER(INDEX(Settlement!$B$6:$B$55,MATCH(A17,Settlement!$A$6:$A$55,0))),INDEX(Settlement!$B$6:$B$55,MATCH(A17,Settlement!$A$6:$A$55,0)),""),"")</x:f>
      </x:c>
      <x:c r="C17" s="41" t="str">
        <x:f>IF(COUNTIF(Settlement!$A$6:$A$55,A17)=1,IF(ISNUMBER(INDEX(Settlement!$I$6:$I$55,MATCH(A17,Settlement!$A$6:$A$55,0))),INDEX(Settlement!$I$6:$I$55,MATCH(A17,Settlement!$A$6:$A$55,0)),""),"")</x:f>
      </x:c>
      <x:c r="D17" s="36"/>
      <x:c r="E17" s="36"/>
      <x:c r="F17" s="36"/>
      <x:c r="G17" s="36"/>
      <x:c r="H17" s="41" t="str">
        <x:f>IF(ISNUMBER(B17),MAX(0,-B17),"")</x:f>
      </x:c>
      <x:c r="I17" s="41" t="str">
        <x:f>IF(COUNT(D17,F17,H17)=3,IF(AND(K17="FULL_BOUND",Profile!$B$13&lt;&gt;"",D17&gt;=0,F17&gt;=0,D17+F17&lt;=H17,OR(D17=0,E17&lt;&gt;""),OR(F17=0,G17&lt;&gt;"")),H17-D17-F17,""),"")</x:f>
      </x:c>
      <x:c r="J17" s="41" t="str">
        <x:f>IF(COUNT(C17,I17)=2,C17+I17,"")</x:f>
      </x:c>
      <x:c r="K17" s="41" t="str">
        <x:f>IF(A17="","",Profile!$B$12)</x:f>
      </x:c>
      <x:c r="L17" s="36"/>
      <x:c r="M17" s="41" t="str">
        <x:f>IF(A17="","",IF(L17="","OPENING EVIDENCE REQUIRED",IF(OR(L17=A17,COUNTIF($A$6:$A$55,L17)&lt;&gt;1,COUNTIF(Settlement!$A$6:$A$55,A17)&lt;&gt;1),"HOLD: PERIOD KEY",IF(AND(ISNUMBER(INDEX($J$6:$J$55,MATCH(L17,$A$6:$A$55,0))),ISNUMBER(INDEX(Settlement!$C$6:$C$55,MATCH(A17,Settlement!$A$6:$A$55,0)))),IF(ABS(INDEX($J$6:$J$55,MATCH(L17,$A$6:$A$55,0))-INDEX(Settlement!$C$6:$C$55,MATCH(A17,Settlement!$A$6:$A$55,0)))&lt;=Profile!$B$18,"MATCH","HOLD: OPENING DIFFERENCE"),"HOLD: MISSING BALANCE"))))</x:f>
      </x:c>
      <x:c r="N17" s="41" t="str">
        <x:f>IF(A17="","",IF(AND(COUNTIF($A$6:$A$55,A17)=1,ISNUMBER(J17),LEFT(M17,4)&lt;&gt;"HOLD"),"CALCULATED - REVIEW LEDGER","HOLD: PROFILE / POSTING"))</x:f>
      </x:c>
    </x:row>
    <x:row r="18" ht="23" customHeight="1">
      <x:c r="A18" s="38"/>
      <x:c r="B18" s="41" t="str">
        <x:f>IF(COUNTIF(Settlement!$A$6:$A$55,A18)=1,IF(ISNUMBER(INDEX(Settlement!$B$6:$B$55,MATCH(A18,Settlement!$A$6:$A$55,0))),INDEX(Settlement!$B$6:$B$55,MATCH(A18,Settlement!$A$6:$A$55,0)),""),"")</x:f>
      </x:c>
      <x:c r="C18" s="41" t="str">
        <x:f>IF(COUNTIF(Settlement!$A$6:$A$55,A18)=1,IF(ISNUMBER(INDEX(Settlement!$I$6:$I$55,MATCH(A18,Settlement!$A$6:$A$55,0))),INDEX(Settlement!$I$6:$I$55,MATCH(A18,Settlement!$A$6:$A$55,0)),""),"")</x:f>
      </x:c>
      <x:c r="D18" s="36"/>
      <x:c r="E18" s="36"/>
      <x:c r="F18" s="36"/>
      <x:c r="G18" s="36"/>
      <x:c r="H18" s="41" t="str">
        <x:f>IF(ISNUMBER(B18),MAX(0,-B18),"")</x:f>
      </x:c>
      <x:c r="I18" s="41" t="str">
        <x:f>IF(COUNT(D18,F18,H18)=3,IF(AND(K18="FULL_BOUND",Profile!$B$13&lt;&gt;"",D18&gt;=0,F18&gt;=0,D18+F18&lt;=H18,OR(D18=0,E18&lt;&gt;""),OR(F18=0,G18&lt;&gt;"")),H18-D18-F18,""),"")</x:f>
      </x:c>
      <x:c r="J18" s="41" t="str">
        <x:f>IF(COUNT(C18,I18)=2,C18+I18,"")</x:f>
      </x:c>
      <x:c r="K18" s="41" t="str">
        <x:f>IF(A18="","",Profile!$B$12)</x:f>
      </x:c>
      <x:c r="L18" s="36"/>
      <x:c r="M18" s="41" t="str">
        <x:f>IF(A18="","",IF(L18="","OPENING EVIDENCE REQUIRED",IF(OR(L18=A18,COUNTIF($A$6:$A$55,L18)&lt;&gt;1,COUNTIF(Settlement!$A$6:$A$55,A18)&lt;&gt;1),"HOLD: PERIOD KEY",IF(AND(ISNUMBER(INDEX($J$6:$J$55,MATCH(L18,$A$6:$A$55,0))),ISNUMBER(INDEX(Settlement!$C$6:$C$55,MATCH(A18,Settlement!$A$6:$A$55,0)))),IF(ABS(INDEX($J$6:$J$55,MATCH(L18,$A$6:$A$55,0))-INDEX(Settlement!$C$6:$C$55,MATCH(A18,Settlement!$A$6:$A$55,0)))&lt;=Profile!$B$18,"MATCH","HOLD: OPENING DIFFERENCE"),"HOLD: MISSING BALANCE"))))</x:f>
      </x:c>
      <x:c r="N18" s="41" t="str">
        <x:f>IF(A18="","",IF(AND(COUNTIF($A$6:$A$55,A18)=1,ISNUMBER(J18),LEFT(M18,4)&lt;&gt;"HOLD"),"CALCULATED - REVIEW LEDGER","HOLD: PROFILE / POSTING"))</x:f>
      </x:c>
    </x:row>
    <x:row r="19" ht="23" customHeight="1">
      <x:c r="A19" s="38"/>
      <x:c r="B19" s="41" t="str">
        <x:f>IF(COUNTIF(Settlement!$A$6:$A$55,A19)=1,IF(ISNUMBER(INDEX(Settlement!$B$6:$B$55,MATCH(A19,Settlement!$A$6:$A$55,0))),INDEX(Settlement!$B$6:$B$55,MATCH(A19,Settlement!$A$6:$A$55,0)),""),"")</x:f>
      </x:c>
      <x:c r="C19" s="41" t="str">
        <x:f>IF(COUNTIF(Settlement!$A$6:$A$55,A19)=1,IF(ISNUMBER(INDEX(Settlement!$I$6:$I$55,MATCH(A19,Settlement!$A$6:$A$55,0))),INDEX(Settlement!$I$6:$I$55,MATCH(A19,Settlement!$A$6:$A$55,0)),""),"")</x:f>
      </x:c>
      <x:c r="D19" s="36"/>
      <x:c r="E19" s="36"/>
      <x:c r="F19" s="36"/>
      <x:c r="G19" s="36"/>
      <x:c r="H19" s="41" t="str">
        <x:f>IF(ISNUMBER(B19),MAX(0,-B19),"")</x:f>
      </x:c>
      <x:c r="I19" s="41" t="str">
        <x:f>IF(COUNT(D19,F19,H19)=3,IF(AND(K19="FULL_BOUND",Profile!$B$13&lt;&gt;"",D19&gt;=0,F19&gt;=0,D19+F19&lt;=H19,OR(D19=0,E19&lt;&gt;""),OR(F19=0,G19&lt;&gt;"")),H19-D19-F19,""),"")</x:f>
      </x:c>
      <x:c r="J19" s="41" t="str">
        <x:f>IF(COUNT(C19,I19)=2,C19+I19,"")</x:f>
      </x:c>
      <x:c r="K19" s="41" t="str">
        <x:f>IF(A19="","",Profile!$B$12)</x:f>
      </x:c>
      <x:c r="L19" s="36"/>
      <x:c r="M19" s="41" t="str">
        <x:f>IF(A19="","",IF(L19="","OPENING EVIDENCE REQUIRED",IF(OR(L19=A19,COUNTIF($A$6:$A$55,L19)&lt;&gt;1,COUNTIF(Settlement!$A$6:$A$55,A19)&lt;&gt;1),"HOLD: PERIOD KEY",IF(AND(ISNUMBER(INDEX($J$6:$J$55,MATCH(L19,$A$6:$A$55,0))),ISNUMBER(INDEX(Settlement!$C$6:$C$55,MATCH(A19,Settlement!$A$6:$A$55,0)))),IF(ABS(INDEX($J$6:$J$55,MATCH(L19,$A$6:$A$55,0))-INDEX(Settlement!$C$6:$C$55,MATCH(A19,Settlement!$A$6:$A$55,0)))&lt;=Profile!$B$18,"MATCH","HOLD: OPENING DIFFERENCE"),"HOLD: MISSING BALANCE"))))</x:f>
      </x:c>
      <x:c r="N19" s="41" t="str">
        <x:f>IF(A19="","",IF(AND(COUNTIF($A$6:$A$55,A19)=1,ISNUMBER(J19),LEFT(M19,4)&lt;&gt;"HOLD"),"CALCULATED - REVIEW LEDGER","HOLD: PROFILE / POSTING"))</x:f>
      </x:c>
    </x:row>
    <x:row r="20" ht="23" customHeight="1">
      <x:c r="A20" s="38"/>
      <x:c r="B20" s="41" t="str">
        <x:f>IF(COUNTIF(Settlement!$A$6:$A$55,A20)=1,IF(ISNUMBER(INDEX(Settlement!$B$6:$B$55,MATCH(A20,Settlement!$A$6:$A$55,0))),INDEX(Settlement!$B$6:$B$55,MATCH(A20,Settlement!$A$6:$A$55,0)),""),"")</x:f>
      </x:c>
      <x:c r="C20" s="41" t="str">
        <x:f>IF(COUNTIF(Settlement!$A$6:$A$55,A20)=1,IF(ISNUMBER(INDEX(Settlement!$I$6:$I$55,MATCH(A20,Settlement!$A$6:$A$55,0))),INDEX(Settlement!$I$6:$I$55,MATCH(A20,Settlement!$A$6:$A$55,0)),""),"")</x:f>
      </x:c>
      <x:c r="D20" s="36"/>
      <x:c r="E20" s="36"/>
      <x:c r="F20" s="36"/>
      <x:c r="G20" s="36"/>
      <x:c r="H20" s="41" t="str">
        <x:f>IF(ISNUMBER(B20),MAX(0,-B20),"")</x:f>
      </x:c>
      <x:c r="I20" s="41" t="str">
        <x:f>IF(COUNT(D20,F20,H20)=3,IF(AND(K20="FULL_BOUND",Profile!$B$13&lt;&gt;"",D20&gt;=0,F20&gt;=0,D20+F20&lt;=H20,OR(D20=0,E20&lt;&gt;""),OR(F20=0,G20&lt;&gt;"")),H20-D20-F20,""),"")</x:f>
      </x:c>
      <x:c r="J20" s="41" t="str">
        <x:f>IF(COUNT(C20,I20)=2,C20+I20,"")</x:f>
      </x:c>
      <x:c r="K20" s="41" t="str">
        <x:f>IF(A20="","",Profile!$B$12)</x:f>
      </x:c>
      <x:c r="L20" s="36"/>
      <x:c r="M20" s="41" t="str">
        <x:f>IF(A20="","",IF(L20="","OPENING EVIDENCE REQUIRED",IF(OR(L20=A20,COUNTIF($A$6:$A$55,L20)&lt;&gt;1,COUNTIF(Settlement!$A$6:$A$55,A20)&lt;&gt;1),"HOLD: PERIOD KEY",IF(AND(ISNUMBER(INDEX($J$6:$J$55,MATCH(L20,$A$6:$A$55,0))),ISNUMBER(INDEX(Settlement!$C$6:$C$55,MATCH(A20,Settlement!$A$6:$A$55,0)))),IF(ABS(INDEX($J$6:$J$55,MATCH(L20,$A$6:$A$55,0))-INDEX(Settlement!$C$6:$C$55,MATCH(A20,Settlement!$A$6:$A$55,0)))&lt;=Profile!$B$18,"MATCH","HOLD: OPENING DIFFERENCE"),"HOLD: MISSING BALANCE"))))</x:f>
      </x:c>
      <x:c r="N20" s="41" t="str">
        <x:f>IF(A20="","",IF(AND(COUNTIF($A$6:$A$55,A20)=1,ISNUMBER(J20),LEFT(M20,4)&lt;&gt;"HOLD"),"CALCULATED - REVIEW LEDGER","HOLD: PROFILE / POSTING"))</x:f>
      </x:c>
    </x:row>
    <x:row r="21" ht="23" customHeight="1">
      <x:c r="A21" s="38"/>
      <x:c r="B21" s="41" t="str">
        <x:f>IF(COUNTIF(Settlement!$A$6:$A$55,A21)=1,IF(ISNUMBER(INDEX(Settlement!$B$6:$B$55,MATCH(A21,Settlement!$A$6:$A$55,0))),INDEX(Settlement!$B$6:$B$55,MATCH(A21,Settlement!$A$6:$A$55,0)),""),"")</x:f>
      </x:c>
      <x:c r="C21" s="41" t="str">
        <x:f>IF(COUNTIF(Settlement!$A$6:$A$55,A21)=1,IF(ISNUMBER(INDEX(Settlement!$I$6:$I$55,MATCH(A21,Settlement!$A$6:$A$55,0))),INDEX(Settlement!$I$6:$I$55,MATCH(A21,Settlement!$A$6:$A$55,0)),""),"")</x:f>
      </x:c>
      <x:c r="D21" s="36"/>
      <x:c r="E21" s="36"/>
      <x:c r="F21" s="36"/>
      <x:c r="G21" s="36"/>
      <x:c r="H21" s="41" t="str">
        <x:f>IF(ISNUMBER(B21),MAX(0,-B21),"")</x:f>
      </x:c>
      <x:c r="I21" s="41" t="str">
        <x:f>IF(COUNT(D21,F21,H21)=3,IF(AND(K21="FULL_BOUND",Profile!$B$13&lt;&gt;"",D21&gt;=0,F21&gt;=0,D21+F21&lt;=H21,OR(D21=0,E21&lt;&gt;""),OR(F21=0,G21&lt;&gt;"")),H21-D21-F21,""),"")</x:f>
      </x:c>
      <x:c r="J21" s="41" t="str">
        <x:f>IF(COUNT(C21,I21)=2,C21+I21,"")</x:f>
      </x:c>
      <x:c r="K21" s="41" t="str">
        <x:f>IF(A21="","",Profile!$B$12)</x:f>
      </x:c>
      <x:c r="L21" s="36"/>
      <x:c r="M21" s="41" t="str">
        <x:f>IF(A21="","",IF(L21="","OPENING EVIDENCE REQUIRED",IF(OR(L21=A21,COUNTIF($A$6:$A$55,L21)&lt;&gt;1,COUNTIF(Settlement!$A$6:$A$55,A21)&lt;&gt;1),"HOLD: PERIOD KEY",IF(AND(ISNUMBER(INDEX($J$6:$J$55,MATCH(L21,$A$6:$A$55,0))),ISNUMBER(INDEX(Settlement!$C$6:$C$55,MATCH(A21,Settlement!$A$6:$A$55,0)))),IF(ABS(INDEX($J$6:$J$55,MATCH(L21,$A$6:$A$55,0))-INDEX(Settlement!$C$6:$C$55,MATCH(A21,Settlement!$A$6:$A$55,0)))&lt;=Profile!$B$18,"MATCH","HOLD: OPENING DIFFERENCE"),"HOLD: MISSING BALANCE"))))</x:f>
      </x:c>
      <x:c r="N21" s="41" t="str">
        <x:f>IF(A21="","",IF(AND(COUNTIF($A$6:$A$55,A21)=1,ISNUMBER(J21),LEFT(M21,4)&lt;&gt;"HOLD"),"CALCULATED - REVIEW LEDGER","HOLD: PROFILE / POSTING"))</x:f>
      </x:c>
    </x:row>
    <x:row r="22" ht="23" customHeight="1">
      <x:c r="A22" s="38"/>
      <x:c r="B22" s="41" t="str">
        <x:f>IF(COUNTIF(Settlement!$A$6:$A$55,A22)=1,IF(ISNUMBER(INDEX(Settlement!$B$6:$B$55,MATCH(A22,Settlement!$A$6:$A$55,0))),INDEX(Settlement!$B$6:$B$55,MATCH(A22,Settlement!$A$6:$A$55,0)),""),"")</x:f>
      </x:c>
      <x:c r="C22" s="41" t="str">
        <x:f>IF(COUNTIF(Settlement!$A$6:$A$55,A22)=1,IF(ISNUMBER(INDEX(Settlement!$I$6:$I$55,MATCH(A22,Settlement!$A$6:$A$55,0))),INDEX(Settlement!$I$6:$I$55,MATCH(A22,Settlement!$A$6:$A$55,0)),""),"")</x:f>
      </x:c>
      <x:c r="D22" s="36"/>
      <x:c r="E22" s="36"/>
      <x:c r="F22" s="36"/>
      <x:c r="G22" s="36"/>
      <x:c r="H22" s="41" t="str">
        <x:f>IF(ISNUMBER(B22),MAX(0,-B22),"")</x:f>
      </x:c>
      <x:c r="I22" s="41" t="str">
        <x:f>IF(COUNT(D22,F22,H22)=3,IF(AND(K22="FULL_BOUND",Profile!$B$13&lt;&gt;"",D22&gt;=0,F22&gt;=0,D22+F22&lt;=H22,OR(D22=0,E22&lt;&gt;""),OR(F22=0,G22&lt;&gt;"")),H22-D22-F22,""),"")</x:f>
      </x:c>
      <x:c r="J22" s="41" t="str">
        <x:f>IF(COUNT(C22,I22)=2,C22+I22,"")</x:f>
      </x:c>
      <x:c r="K22" s="41" t="str">
        <x:f>IF(A22="","",Profile!$B$12)</x:f>
      </x:c>
      <x:c r="L22" s="36"/>
      <x:c r="M22" s="41" t="str">
        <x:f>IF(A22="","",IF(L22="","OPENING EVIDENCE REQUIRED",IF(OR(L22=A22,COUNTIF($A$6:$A$55,L22)&lt;&gt;1,COUNTIF(Settlement!$A$6:$A$55,A22)&lt;&gt;1),"HOLD: PERIOD KEY",IF(AND(ISNUMBER(INDEX($J$6:$J$55,MATCH(L22,$A$6:$A$55,0))),ISNUMBER(INDEX(Settlement!$C$6:$C$55,MATCH(A22,Settlement!$A$6:$A$55,0)))),IF(ABS(INDEX($J$6:$J$55,MATCH(L22,$A$6:$A$55,0))-INDEX(Settlement!$C$6:$C$55,MATCH(A22,Settlement!$A$6:$A$55,0)))&lt;=Profile!$B$18,"MATCH","HOLD: OPENING DIFFERENCE"),"HOLD: MISSING BALANCE"))))</x:f>
      </x:c>
      <x:c r="N22" s="41" t="str">
        <x:f>IF(A22="","",IF(AND(COUNTIF($A$6:$A$55,A22)=1,ISNUMBER(J22),LEFT(M22,4)&lt;&gt;"HOLD"),"CALCULATED - REVIEW LEDGER","HOLD: PROFILE / POSTING"))</x:f>
      </x:c>
    </x:row>
    <x:row r="23" ht="23" customHeight="1">
      <x:c r="A23" s="38"/>
      <x:c r="B23" s="41" t="str">
        <x:f>IF(COUNTIF(Settlement!$A$6:$A$55,A23)=1,IF(ISNUMBER(INDEX(Settlement!$B$6:$B$55,MATCH(A23,Settlement!$A$6:$A$55,0))),INDEX(Settlement!$B$6:$B$55,MATCH(A23,Settlement!$A$6:$A$55,0)),""),"")</x:f>
      </x:c>
      <x:c r="C23" s="41" t="str">
        <x:f>IF(COUNTIF(Settlement!$A$6:$A$55,A23)=1,IF(ISNUMBER(INDEX(Settlement!$I$6:$I$55,MATCH(A23,Settlement!$A$6:$A$55,0))),INDEX(Settlement!$I$6:$I$55,MATCH(A23,Settlement!$A$6:$A$55,0)),""),"")</x:f>
      </x:c>
      <x:c r="D23" s="36"/>
      <x:c r="E23" s="36"/>
      <x:c r="F23" s="36"/>
      <x:c r="G23" s="36"/>
      <x:c r="H23" s="41" t="str">
        <x:f>IF(ISNUMBER(B23),MAX(0,-B23),"")</x:f>
      </x:c>
      <x:c r="I23" s="41" t="str">
        <x:f>IF(COUNT(D23,F23,H23)=3,IF(AND(K23="FULL_BOUND",Profile!$B$13&lt;&gt;"",D23&gt;=0,F23&gt;=0,D23+F23&lt;=H23,OR(D23=0,E23&lt;&gt;""),OR(F23=0,G23&lt;&gt;"")),H23-D23-F23,""),"")</x:f>
      </x:c>
      <x:c r="J23" s="41" t="str">
        <x:f>IF(COUNT(C23,I23)=2,C23+I23,"")</x:f>
      </x:c>
      <x:c r="K23" s="41" t="str">
        <x:f>IF(A23="","",Profile!$B$12)</x:f>
      </x:c>
      <x:c r="L23" s="36"/>
      <x:c r="M23" s="41" t="str">
        <x:f>IF(A23="","",IF(L23="","OPENING EVIDENCE REQUIRED",IF(OR(L23=A23,COUNTIF($A$6:$A$55,L23)&lt;&gt;1,COUNTIF(Settlement!$A$6:$A$55,A23)&lt;&gt;1),"HOLD: PERIOD KEY",IF(AND(ISNUMBER(INDEX($J$6:$J$55,MATCH(L23,$A$6:$A$55,0))),ISNUMBER(INDEX(Settlement!$C$6:$C$55,MATCH(A23,Settlement!$A$6:$A$55,0)))),IF(ABS(INDEX($J$6:$J$55,MATCH(L23,$A$6:$A$55,0))-INDEX(Settlement!$C$6:$C$55,MATCH(A23,Settlement!$A$6:$A$55,0)))&lt;=Profile!$B$18,"MATCH","HOLD: OPENING DIFFERENCE"),"HOLD: MISSING BALANCE"))))</x:f>
      </x:c>
      <x:c r="N23" s="41" t="str">
        <x:f>IF(A23="","",IF(AND(COUNTIF($A$6:$A$55,A23)=1,ISNUMBER(J23),LEFT(M23,4)&lt;&gt;"HOLD"),"CALCULATED - REVIEW LEDGER","HOLD: PROFILE / POSTING"))</x:f>
      </x:c>
    </x:row>
    <x:row r="24" ht="23" customHeight="1">
      <x:c r="A24" s="38"/>
      <x:c r="B24" s="41" t="str">
        <x:f>IF(COUNTIF(Settlement!$A$6:$A$55,A24)=1,IF(ISNUMBER(INDEX(Settlement!$B$6:$B$55,MATCH(A24,Settlement!$A$6:$A$55,0))),INDEX(Settlement!$B$6:$B$55,MATCH(A24,Settlement!$A$6:$A$55,0)),""),"")</x:f>
      </x:c>
      <x:c r="C24" s="41" t="str">
        <x:f>IF(COUNTIF(Settlement!$A$6:$A$55,A24)=1,IF(ISNUMBER(INDEX(Settlement!$I$6:$I$55,MATCH(A24,Settlement!$A$6:$A$55,0))),INDEX(Settlement!$I$6:$I$55,MATCH(A24,Settlement!$A$6:$A$55,0)),""),"")</x:f>
      </x:c>
      <x:c r="D24" s="36"/>
      <x:c r="E24" s="36"/>
      <x:c r="F24" s="36"/>
      <x:c r="G24" s="36"/>
      <x:c r="H24" s="41" t="str">
        <x:f>IF(ISNUMBER(B24),MAX(0,-B24),"")</x:f>
      </x:c>
      <x:c r="I24" s="41" t="str">
        <x:f>IF(COUNT(D24,F24,H24)=3,IF(AND(K24="FULL_BOUND",Profile!$B$13&lt;&gt;"",D24&gt;=0,F24&gt;=0,D24+F24&lt;=H24,OR(D24=0,E24&lt;&gt;""),OR(F24=0,G24&lt;&gt;"")),H24-D24-F24,""),"")</x:f>
      </x:c>
      <x:c r="J24" s="41" t="str">
        <x:f>IF(COUNT(C24,I24)=2,C24+I24,"")</x:f>
      </x:c>
      <x:c r="K24" s="41" t="str">
        <x:f>IF(A24="","",Profile!$B$12)</x:f>
      </x:c>
      <x:c r="L24" s="36"/>
      <x:c r="M24" s="41" t="str">
        <x:f>IF(A24="","",IF(L24="","OPENING EVIDENCE REQUIRED",IF(OR(L24=A24,COUNTIF($A$6:$A$55,L24)&lt;&gt;1,COUNTIF(Settlement!$A$6:$A$55,A24)&lt;&gt;1),"HOLD: PERIOD KEY",IF(AND(ISNUMBER(INDEX($J$6:$J$55,MATCH(L24,$A$6:$A$55,0))),ISNUMBER(INDEX(Settlement!$C$6:$C$55,MATCH(A24,Settlement!$A$6:$A$55,0)))),IF(ABS(INDEX($J$6:$J$55,MATCH(L24,$A$6:$A$55,0))-INDEX(Settlement!$C$6:$C$55,MATCH(A24,Settlement!$A$6:$A$55,0)))&lt;=Profile!$B$18,"MATCH","HOLD: OPENING DIFFERENCE"),"HOLD: MISSING BALANCE"))))</x:f>
      </x:c>
      <x:c r="N24" s="41" t="str">
        <x:f>IF(A24="","",IF(AND(COUNTIF($A$6:$A$55,A24)=1,ISNUMBER(J24),LEFT(M24,4)&lt;&gt;"HOLD"),"CALCULATED - REVIEW LEDGER","HOLD: PROFILE / POSTING"))</x:f>
      </x:c>
    </x:row>
    <x:row r="25" ht="23" customHeight="1">
      <x:c r="A25" s="38"/>
      <x:c r="B25" s="41" t="str">
        <x:f>IF(COUNTIF(Settlement!$A$6:$A$55,A25)=1,IF(ISNUMBER(INDEX(Settlement!$B$6:$B$55,MATCH(A25,Settlement!$A$6:$A$55,0))),INDEX(Settlement!$B$6:$B$55,MATCH(A25,Settlement!$A$6:$A$55,0)),""),"")</x:f>
      </x:c>
      <x:c r="C25" s="41" t="str">
        <x:f>IF(COUNTIF(Settlement!$A$6:$A$55,A25)=1,IF(ISNUMBER(INDEX(Settlement!$I$6:$I$55,MATCH(A25,Settlement!$A$6:$A$55,0))),INDEX(Settlement!$I$6:$I$55,MATCH(A25,Settlement!$A$6:$A$55,0)),""),"")</x:f>
      </x:c>
      <x:c r="D25" s="36"/>
      <x:c r="E25" s="36"/>
      <x:c r="F25" s="36"/>
      <x:c r="G25" s="36"/>
      <x:c r="H25" s="41" t="str">
        <x:f>IF(ISNUMBER(B25),MAX(0,-B25),"")</x:f>
      </x:c>
      <x:c r="I25" s="41" t="str">
        <x:f>IF(COUNT(D25,F25,H25)=3,IF(AND(K25="FULL_BOUND",Profile!$B$13&lt;&gt;"",D25&gt;=0,F25&gt;=0,D25+F25&lt;=H25,OR(D25=0,E25&lt;&gt;""),OR(F25=0,G25&lt;&gt;"")),H25-D25-F25,""),"")</x:f>
      </x:c>
      <x:c r="J25" s="41" t="str">
        <x:f>IF(COUNT(C25,I25)=2,C25+I25,"")</x:f>
      </x:c>
      <x:c r="K25" s="41" t="str">
        <x:f>IF(A25="","",Profile!$B$12)</x:f>
      </x:c>
      <x:c r="L25" s="36"/>
      <x:c r="M25" s="41" t="str">
        <x:f>IF(A25="","",IF(L25="","OPENING EVIDENCE REQUIRED",IF(OR(L25=A25,COUNTIF($A$6:$A$55,L25)&lt;&gt;1,COUNTIF(Settlement!$A$6:$A$55,A25)&lt;&gt;1),"HOLD: PERIOD KEY",IF(AND(ISNUMBER(INDEX($J$6:$J$55,MATCH(L25,$A$6:$A$55,0))),ISNUMBER(INDEX(Settlement!$C$6:$C$55,MATCH(A25,Settlement!$A$6:$A$55,0)))),IF(ABS(INDEX($J$6:$J$55,MATCH(L25,$A$6:$A$55,0))-INDEX(Settlement!$C$6:$C$55,MATCH(A25,Settlement!$A$6:$A$55,0)))&lt;=Profile!$B$18,"MATCH","HOLD: OPENING DIFFERENCE"),"HOLD: MISSING BALANCE"))))</x:f>
      </x:c>
      <x:c r="N25" s="41" t="str">
        <x:f>IF(A25="","",IF(AND(COUNTIF($A$6:$A$55,A25)=1,ISNUMBER(J25),LEFT(M25,4)&lt;&gt;"HOLD"),"CALCULATED - REVIEW LEDGER","HOLD: PROFILE / POSTING"))</x:f>
      </x:c>
    </x:row>
    <x:row r="26" ht="23" customHeight="1">
      <x:c r="A26" s="38"/>
      <x:c r="B26" s="41" t="str">
        <x:f>IF(COUNTIF(Settlement!$A$6:$A$55,A26)=1,IF(ISNUMBER(INDEX(Settlement!$B$6:$B$55,MATCH(A26,Settlement!$A$6:$A$55,0))),INDEX(Settlement!$B$6:$B$55,MATCH(A26,Settlement!$A$6:$A$55,0)),""),"")</x:f>
      </x:c>
      <x:c r="C26" s="41" t="str">
        <x:f>IF(COUNTIF(Settlement!$A$6:$A$55,A26)=1,IF(ISNUMBER(INDEX(Settlement!$I$6:$I$55,MATCH(A26,Settlement!$A$6:$A$55,0))),INDEX(Settlement!$I$6:$I$55,MATCH(A26,Settlement!$A$6:$A$55,0)),""),"")</x:f>
      </x:c>
      <x:c r="D26" s="36"/>
      <x:c r="E26" s="36"/>
      <x:c r="F26" s="36"/>
      <x:c r="G26" s="36"/>
      <x:c r="H26" s="41" t="str">
        <x:f>IF(ISNUMBER(B26),MAX(0,-B26),"")</x:f>
      </x:c>
      <x:c r="I26" s="41" t="str">
        <x:f>IF(COUNT(D26,F26,H26)=3,IF(AND(K26="FULL_BOUND",Profile!$B$13&lt;&gt;"",D26&gt;=0,F26&gt;=0,D26+F26&lt;=H26,OR(D26=0,E26&lt;&gt;""),OR(F26=0,G26&lt;&gt;"")),H26-D26-F26,""),"")</x:f>
      </x:c>
      <x:c r="J26" s="41" t="str">
        <x:f>IF(COUNT(C26,I26)=2,C26+I26,"")</x:f>
      </x:c>
      <x:c r="K26" s="41" t="str">
        <x:f>IF(A26="","",Profile!$B$12)</x:f>
      </x:c>
      <x:c r="L26" s="36"/>
      <x:c r="M26" s="41" t="str">
        <x:f>IF(A26="","",IF(L26="","OPENING EVIDENCE REQUIRED",IF(OR(L26=A26,COUNTIF($A$6:$A$55,L26)&lt;&gt;1,COUNTIF(Settlement!$A$6:$A$55,A26)&lt;&gt;1),"HOLD: PERIOD KEY",IF(AND(ISNUMBER(INDEX($J$6:$J$55,MATCH(L26,$A$6:$A$55,0))),ISNUMBER(INDEX(Settlement!$C$6:$C$55,MATCH(A26,Settlement!$A$6:$A$55,0)))),IF(ABS(INDEX($J$6:$J$55,MATCH(L26,$A$6:$A$55,0))-INDEX(Settlement!$C$6:$C$55,MATCH(A26,Settlement!$A$6:$A$55,0)))&lt;=Profile!$B$18,"MATCH","HOLD: OPENING DIFFERENCE"),"HOLD: MISSING BALANCE"))))</x:f>
      </x:c>
      <x:c r="N26" s="41" t="str">
        <x:f>IF(A26="","",IF(AND(COUNTIF($A$6:$A$55,A26)=1,ISNUMBER(J26),LEFT(M26,4)&lt;&gt;"HOLD"),"CALCULATED - REVIEW LEDGER","HOLD: PROFILE / POSTING"))</x:f>
      </x:c>
    </x:row>
    <x:row r="27" ht="23" customHeight="1">
      <x:c r="A27" s="38"/>
      <x:c r="B27" s="41" t="str">
        <x:f>IF(COUNTIF(Settlement!$A$6:$A$55,A27)=1,IF(ISNUMBER(INDEX(Settlement!$B$6:$B$55,MATCH(A27,Settlement!$A$6:$A$55,0))),INDEX(Settlement!$B$6:$B$55,MATCH(A27,Settlement!$A$6:$A$55,0)),""),"")</x:f>
      </x:c>
      <x:c r="C27" s="41" t="str">
        <x:f>IF(COUNTIF(Settlement!$A$6:$A$55,A27)=1,IF(ISNUMBER(INDEX(Settlement!$I$6:$I$55,MATCH(A27,Settlement!$A$6:$A$55,0))),INDEX(Settlement!$I$6:$I$55,MATCH(A27,Settlement!$A$6:$A$55,0)),""),"")</x:f>
      </x:c>
      <x:c r="D27" s="36"/>
      <x:c r="E27" s="36"/>
      <x:c r="F27" s="36"/>
      <x:c r="G27" s="36"/>
      <x:c r="H27" s="41" t="str">
        <x:f>IF(ISNUMBER(B27),MAX(0,-B27),"")</x:f>
      </x:c>
      <x:c r="I27" s="41" t="str">
        <x:f>IF(COUNT(D27,F27,H27)=3,IF(AND(K27="FULL_BOUND",Profile!$B$13&lt;&gt;"",D27&gt;=0,F27&gt;=0,D27+F27&lt;=H27,OR(D27=0,E27&lt;&gt;""),OR(F27=0,G27&lt;&gt;"")),H27-D27-F27,""),"")</x:f>
      </x:c>
      <x:c r="J27" s="41" t="str">
        <x:f>IF(COUNT(C27,I27)=2,C27+I27,"")</x:f>
      </x:c>
      <x:c r="K27" s="41" t="str">
        <x:f>IF(A27="","",Profile!$B$12)</x:f>
      </x:c>
      <x:c r="L27" s="36"/>
      <x:c r="M27" s="41" t="str">
        <x:f>IF(A27="","",IF(L27="","OPENING EVIDENCE REQUIRED",IF(OR(L27=A27,COUNTIF($A$6:$A$55,L27)&lt;&gt;1,COUNTIF(Settlement!$A$6:$A$55,A27)&lt;&gt;1),"HOLD: PERIOD KEY",IF(AND(ISNUMBER(INDEX($J$6:$J$55,MATCH(L27,$A$6:$A$55,0))),ISNUMBER(INDEX(Settlement!$C$6:$C$55,MATCH(A27,Settlement!$A$6:$A$55,0)))),IF(ABS(INDEX($J$6:$J$55,MATCH(L27,$A$6:$A$55,0))-INDEX(Settlement!$C$6:$C$55,MATCH(A27,Settlement!$A$6:$A$55,0)))&lt;=Profile!$B$18,"MATCH","HOLD: OPENING DIFFERENCE"),"HOLD: MISSING BALANCE"))))</x:f>
      </x:c>
      <x:c r="N27" s="41" t="str">
        <x:f>IF(A27="","",IF(AND(COUNTIF($A$6:$A$55,A27)=1,ISNUMBER(J27),LEFT(M27,4)&lt;&gt;"HOLD"),"CALCULATED - REVIEW LEDGER","HOLD: PROFILE / POSTING"))</x:f>
      </x:c>
    </x:row>
    <x:row r="28" ht="23" customHeight="1">
      <x:c r="A28" s="38"/>
      <x:c r="B28" s="41" t="str">
        <x:f>IF(COUNTIF(Settlement!$A$6:$A$55,A28)=1,IF(ISNUMBER(INDEX(Settlement!$B$6:$B$55,MATCH(A28,Settlement!$A$6:$A$55,0))),INDEX(Settlement!$B$6:$B$55,MATCH(A28,Settlement!$A$6:$A$55,0)),""),"")</x:f>
      </x:c>
      <x:c r="C28" s="41" t="str">
        <x:f>IF(COUNTIF(Settlement!$A$6:$A$55,A28)=1,IF(ISNUMBER(INDEX(Settlement!$I$6:$I$55,MATCH(A28,Settlement!$A$6:$A$55,0))),INDEX(Settlement!$I$6:$I$55,MATCH(A28,Settlement!$A$6:$A$55,0)),""),"")</x:f>
      </x:c>
      <x:c r="D28" s="36"/>
      <x:c r="E28" s="36"/>
      <x:c r="F28" s="36"/>
      <x:c r="G28" s="36"/>
      <x:c r="H28" s="41" t="str">
        <x:f>IF(ISNUMBER(B28),MAX(0,-B28),"")</x:f>
      </x:c>
      <x:c r="I28" s="41" t="str">
        <x:f>IF(COUNT(D28,F28,H28)=3,IF(AND(K28="FULL_BOUND",Profile!$B$13&lt;&gt;"",D28&gt;=0,F28&gt;=0,D28+F28&lt;=H28,OR(D28=0,E28&lt;&gt;""),OR(F28=0,G28&lt;&gt;"")),H28-D28-F28,""),"")</x:f>
      </x:c>
      <x:c r="J28" s="41" t="str">
        <x:f>IF(COUNT(C28,I28)=2,C28+I28,"")</x:f>
      </x:c>
      <x:c r="K28" s="41" t="str">
        <x:f>IF(A28="","",Profile!$B$12)</x:f>
      </x:c>
      <x:c r="L28" s="36"/>
      <x:c r="M28" s="41" t="str">
        <x:f>IF(A28="","",IF(L28="","OPENING EVIDENCE REQUIRED",IF(OR(L28=A28,COUNTIF($A$6:$A$55,L28)&lt;&gt;1,COUNTIF(Settlement!$A$6:$A$55,A28)&lt;&gt;1),"HOLD: PERIOD KEY",IF(AND(ISNUMBER(INDEX($J$6:$J$55,MATCH(L28,$A$6:$A$55,0))),ISNUMBER(INDEX(Settlement!$C$6:$C$55,MATCH(A28,Settlement!$A$6:$A$55,0)))),IF(ABS(INDEX($J$6:$J$55,MATCH(L28,$A$6:$A$55,0))-INDEX(Settlement!$C$6:$C$55,MATCH(A28,Settlement!$A$6:$A$55,0)))&lt;=Profile!$B$18,"MATCH","HOLD: OPENING DIFFERENCE"),"HOLD: MISSING BALANCE"))))</x:f>
      </x:c>
      <x:c r="N28" s="41" t="str">
        <x:f>IF(A28="","",IF(AND(COUNTIF($A$6:$A$55,A28)=1,ISNUMBER(J28),LEFT(M28,4)&lt;&gt;"HOLD"),"CALCULATED - REVIEW LEDGER","HOLD: PROFILE / POSTING"))</x:f>
      </x:c>
    </x:row>
    <x:row r="29" ht="23" customHeight="1">
      <x:c r="A29" s="38"/>
      <x:c r="B29" s="41" t="str">
        <x:f>IF(COUNTIF(Settlement!$A$6:$A$55,A29)=1,IF(ISNUMBER(INDEX(Settlement!$B$6:$B$55,MATCH(A29,Settlement!$A$6:$A$55,0))),INDEX(Settlement!$B$6:$B$55,MATCH(A29,Settlement!$A$6:$A$55,0)),""),"")</x:f>
      </x:c>
      <x:c r="C29" s="41" t="str">
        <x:f>IF(COUNTIF(Settlement!$A$6:$A$55,A29)=1,IF(ISNUMBER(INDEX(Settlement!$I$6:$I$55,MATCH(A29,Settlement!$A$6:$A$55,0))),INDEX(Settlement!$I$6:$I$55,MATCH(A29,Settlement!$A$6:$A$55,0)),""),"")</x:f>
      </x:c>
      <x:c r="D29" s="36"/>
      <x:c r="E29" s="36"/>
      <x:c r="F29" s="36"/>
      <x:c r="G29" s="36"/>
      <x:c r="H29" s="41" t="str">
        <x:f>IF(ISNUMBER(B29),MAX(0,-B29),"")</x:f>
      </x:c>
      <x:c r="I29" s="41" t="str">
        <x:f>IF(COUNT(D29,F29,H29)=3,IF(AND(K29="FULL_BOUND",Profile!$B$13&lt;&gt;"",D29&gt;=0,F29&gt;=0,D29+F29&lt;=H29,OR(D29=0,E29&lt;&gt;""),OR(F29=0,G29&lt;&gt;"")),H29-D29-F29,""),"")</x:f>
      </x:c>
      <x:c r="J29" s="41" t="str">
        <x:f>IF(COUNT(C29,I29)=2,C29+I29,"")</x:f>
      </x:c>
      <x:c r="K29" s="41" t="str">
        <x:f>IF(A29="","",Profile!$B$12)</x:f>
      </x:c>
      <x:c r="L29" s="36"/>
      <x:c r="M29" s="41" t="str">
        <x:f>IF(A29="","",IF(L29="","OPENING EVIDENCE REQUIRED",IF(OR(L29=A29,COUNTIF($A$6:$A$55,L29)&lt;&gt;1,COUNTIF(Settlement!$A$6:$A$55,A29)&lt;&gt;1),"HOLD: PERIOD KEY",IF(AND(ISNUMBER(INDEX($J$6:$J$55,MATCH(L29,$A$6:$A$55,0))),ISNUMBER(INDEX(Settlement!$C$6:$C$55,MATCH(A29,Settlement!$A$6:$A$55,0)))),IF(ABS(INDEX($J$6:$J$55,MATCH(L29,$A$6:$A$55,0))-INDEX(Settlement!$C$6:$C$55,MATCH(A29,Settlement!$A$6:$A$55,0)))&lt;=Profile!$B$18,"MATCH","HOLD: OPENING DIFFERENCE"),"HOLD: MISSING BALANCE"))))</x:f>
      </x:c>
      <x:c r="N29" s="41" t="str">
        <x:f>IF(A29="","",IF(AND(COUNTIF($A$6:$A$55,A29)=1,ISNUMBER(J29),LEFT(M29,4)&lt;&gt;"HOLD"),"CALCULATED - REVIEW LEDGER","HOLD: PROFILE / POSTING"))</x:f>
      </x:c>
    </x:row>
    <x:row r="30" ht="23" customHeight="1">
      <x:c r="A30" s="38"/>
      <x:c r="B30" s="41" t="str">
        <x:f>IF(COUNTIF(Settlement!$A$6:$A$55,A30)=1,IF(ISNUMBER(INDEX(Settlement!$B$6:$B$55,MATCH(A30,Settlement!$A$6:$A$55,0))),INDEX(Settlement!$B$6:$B$55,MATCH(A30,Settlement!$A$6:$A$55,0)),""),"")</x:f>
      </x:c>
      <x:c r="C30" s="41" t="str">
        <x:f>IF(COUNTIF(Settlement!$A$6:$A$55,A30)=1,IF(ISNUMBER(INDEX(Settlement!$I$6:$I$55,MATCH(A30,Settlement!$A$6:$A$55,0))),INDEX(Settlement!$I$6:$I$55,MATCH(A30,Settlement!$A$6:$A$55,0)),""),"")</x:f>
      </x:c>
      <x:c r="D30" s="36"/>
      <x:c r="E30" s="36"/>
      <x:c r="F30" s="36"/>
      <x:c r="G30" s="36"/>
      <x:c r="H30" s="41" t="str">
        <x:f>IF(ISNUMBER(B30),MAX(0,-B30),"")</x:f>
      </x:c>
      <x:c r="I30" s="41" t="str">
        <x:f>IF(COUNT(D30,F30,H30)=3,IF(AND(K30="FULL_BOUND",Profile!$B$13&lt;&gt;"",D30&gt;=0,F30&gt;=0,D30+F30&lt;=H30,OR(D30=0,E30&lt;&gt;""),OR(F30=0,G30&lt;&gt;"")),H30-D30-F30,""),"")</x:f>
      </x:c>
      <x:c r="J30" s="41" t="str">
        <x:f>IF(COUNT(C30,I30)=2,C30+I30,"")</x:f>
      </x:c>
      <x:c r="K30" s="41" t="str">
        <x:f>IF(A30="","",Profile!$B$12)</x:f>
      </x:c>
      <x:c r="L30" s="36"/>
      <x:c r="M30" s="41" t="str">
        <x:f>IF(A30="","",IF(L30="","OPENING EVIDENCE REQUIRED",IF(OR(L30=A30,COUNTIF($A$6:$A$55,L30)&lt;&gt;1,COUNTIF(Settlement!$A$6:$A$55,A30)&lt;&gt;1),"HOLD: PERIOD KEY",IF(AND(ISNUMBER(INDEX($J$6:$J$55,MATCH(L30,$A$6:$A$55,0))),ISNUMBER(INDEX(Settlement!$C$6:$C$55,MATCH(A30,Settlement!$A$6:$A$55,0)))),IF(ABS(INDEX($J$6:$J$55,MATCH(L30,$A$6:$A$55,0))-INDEX(Settlement!$C$6:$C$55,MATCH(A30,Settlement!$A$6:$A$55,0)))&lt;=Profile!$B$18,"MATCH","HOLD: OPENING DIFFERENCE"),"HOLD: MISSING BALANCE"))))</x:f>
      </x:c>
      <x:c r="N30" s="41" t="str">
        <x:f>IF(A30="","",IF(AND(COUNTIF($A$6:$A$55,A30)=1,ISNUMBER(J30),LEFT(M30,4)&lt;&gt;"HOLD"),"CALCULATED - REVIEW LEDGER","HOLD: PROFILE / POSTING"))</x:f>
      </x:c>
    </x:row>
    <x:row r="31" ht="23" customHeight="1">
      <x:c r="A31" s="38"/>
      <x:c r="B31" s="41" t="str">
        <x:f>IF(COUNTIF(Settlement!$A$6:$A$55,A31)=1,IF(ISNUMBER(INDEX(Settlement!$B$6:$B$55,MATCH(A31,Settlement!$A$6:$A$55,0))),INDEX(Settlement!$B$6:$B$55,MATCH(A31,Settlement!$A$6:$A$55,0)),""),"")</x:f>
      </x:c>
      <x:c r="C31" s="41" t="str">
        <x:f>IF(COUNTIF(Settlement!$A$6:$A$55,A31)=1,IF(ISNUMBER(INDEX(Settlement!$I$6:$I$55,MATCH(A31,Settlement!$A$6:$A$55,0))),INDEX(Settlement!$I$6:$I$55,MATCH(A31,Settlement!$A$6:$A$55,0)),""),"")</x:f>
      </x:c>
      <x:c r="D31" s="36"/>
      <x:c r="E31" s="36"/>
      <x:c r="F31" s="36"/>
      <x:c r="G31" s="36"/>
      <x:c r="H31" s="41" t="str">
        <x:f>IF(ISNUMBER(B31),MAX(0,-B31),"")</x:f>
      </x:c>
      <x:c r="I31" s="41" t="str">
        <x:f>IF(COUNT(D31,F31,H31)=3,IF(AND(K31="FULL_BOUND",Profile!$B$13&lt;&gt;"",D31&gt;=0,F31&gt;=0,D31+F31&lt;=H31,OR(D31=0,E31&lt;&gt;""),OR(F31=0,G31&lt;&gt;"")),H31-D31-F31,""),"")</x:f>
      </x:c>
      <x:c r="J31" s="41" t="str">
        <x:f>IF(COUNT(C31,I31)=2,C31+I31,"")</x:f>
      </x:c>
      <x:c r="K31" s="41" t="str">
        <x:f>IF(A31="","",Profile!$B$12)</x:f>
      </x:c>
      <x:c r="L31" s="36"/>
      <x:c r="M31" s="41" t="str">
        <x:f>IF(A31="","",IF(L31="","OPENING EVIDENCE REQUIRED",IF(OR(L31=A31,COUNTIF($A$6:$A$55,L31)&lt;&gt;1,COUNTIF(Settlement!$A$6:$A$55,A31)&lt;&gt;1),"HOLD: PERIOD KEY",IF(AND(ISNUMBER(INDEX($J$6:$J$55,MATCH(L31,$A$6:$A$55,0))),ISNUMBER(INDEX(Settlement!$C$6:$C$55,MATCH(A31,Settlement!$A$6:$A$55,0)))),IF(ABS(INDEX($J$6:$J$55,MATCH(L31,$A$6:$A$55,0))-INDEX(Settlement!$C$6:$C$55,MATCH(A31,Settlement!$A$6:$A$55,0)))&lt;=Profile!$B$18,"MATCH","HOLD: OPENING DIFFERENCE"),"HOLD: MISSING BALANCE"))))</x:f>
      </x:c>
      <x:c r="N31" s="41" t="str">
        <x:f>IF(A31="","",IF(AND(COUNTIF($A$6:$A$55,A31)=1,ISNUMBER(J31),LEFT(M31,4)&lt;&gt;"HOLD"),"CALCULATED - REVIEW LEDGER","HOLD: PROFILE / POSTING"))</x:f>
      </x:c>
    </x:row>
    <x:row r="32" ht="23" customHeight="1">
      <x:c r="A32" s="38"/>
      <x:c r="B32" s="41" t="str">
        <x:f>IF(COUNTIF(Settlement!$A$6:$A$55,A32)=1,IF(ISNUMBER(INDEX(Settlement!$B$6:$B$55,MATCH(A32,Settlement!$A$6:$A$55,0))),INDEX(Settlement!$B$6:$B$55,MATCH(A32,Settlement!$A$6:$A$55,0)),""),"")</x:f>
      </x:c>
      <x:c r="C32" s="41" t="str">
        <x:f>IF(COUNTIF(Settlement!$A$6:$A$55,A32)=1,IF(ISNUMBER(INDEX(Settlement!$I$6:$I$55,MATCH(A32,Settlement!$A$6:$A$55,0))),INDEX(Settlement!$I$6:$I$55,MATCH(A32,Settlement!$A$6:$A$55,0)),""),"")</x:f>
      </x:c>
      <x:c r="D32" s="36"/>
      <x:c r="E32" s="36"/>
      <x:c r="F32" s="36"/>
      <x:c r="G32" s="36"/>
      <x:c r="H32" s="41" t="str">
        <x:f>IF(ISNUMBER(B32),MAX(0,-B32),"")</x:f>
      </x:c>
      <x:c r="I32" s="41" t="str">
        <x:f>IF(COUNT(D32,F32,H32)=3,IF(AND(K32="FULL_BOUND",Profile!$B$13&lt;&gt;"",D32&gt;=0,F32&gt;=0,D32+F32&lt;=H32,OR(D32=0,E32&lt;&gt;""),OR(F32=0,G32&lt;&gt;"")),H32-D32-F32,""),"")</x:f>
      </x:c>
      <x:c r="J32" s="41" t="str">
        <x:f>IF(COUNT(C32,I32)=2,C32+I32,"")</x:f>
      </x:c>
      <x:c r="K32" s="41" t="str">
        <x:f>IF(A32="","",Profile!$B$12)</x:f>
      </x:c>
      <x:c r="L32" s="36"/>
      <x:c r="M32" s="41" t="str">
        <x:f>IF(A32="","",IF(L32="","OPENING EVIDENCE REQUIRED",IF(OR(L32=A32,COUNTIF($A$6:$A$55,L32)&lt;&gt;1,COUNTIF(Settlement!$A$6:$A$55,A32)&lt;&gt;1),"HOLD: PERIOD KEY",IF(AND(ISNUMBER(INDEX($J$6:$J$55,MATCH(L32,$A$6:$A$55,0))),ISNUMBER(INDEX(Settlement!$C$6:$C$55,MATCH(A32,Settlement!$A$6:$A$55,0)))),IF(ABS(INDEX($J$6:$J$55,MATCH(L32,$A$6:$A$55,0))-INDEX(Settlement!$C$6:$C$55,MATCH(A32,Settlement!$A$6:$A$55,0)))&lt;=Profile!$B$18,"MATCH","HOLD: OPENING DIFFERENCE"),"HOLD: MISSING BALANCE"))))</x:f>
      </x:c>
      <x:c r="N32" s="41" t="str">
        <x:f>IF(A32="","",IF(AND(COUNTIF($A$6:$A$55,A32)=1,ISNUMBER(J32),LEFT(M32,4)&lt;&gt;"HOLD"),"CALCULATED - REVIEW LEDGER","HOLD: PROFILE / POSTING"))</x:f>
      </x:c>
    </x:row>
    <x:row r="33" ht="23" customHeight="1">
      <x:c r="A33" s="38"/>
      <x:c r="B33" s="41" t="str">
        <x:f>IF(COUNTIF(Settlement!$A$6:$A$55,A33)=1,IF(ISNUMBER(INDEX(Settlement!$B$6:$B$55,MATCH(A33,Settlement!$A$6:$A$55,0))),INDEX(Settlement!$B$6:$B$55,MATCH(A33,Settlement!$A$6:$A$55,0)),""),"")</x:f>
      </x:c>
      <x:c r="C33" s="41" t="str">
        <x:f>IF(COUNTIF(Settlement!$A$6:$A$55,A33)=1,IF(ISNUMBER(INDEX(Settlement!$I$6:$I$55,MATCH(A33,Settlement!$A$6:$A$55,0))),INDEX(Settlement!$I$6:$I$55,MATCH(A33,Settlement!$A$6:$A$55,0)),""),"")</x:f>
      </x:c>
      <x:c r="D33" s="36"/>
      <x:c r="E33" s="36"/>
      <x:c r="F33" s="36"/>
      <x:c r="G33" s="36"/>
      <x:c r="H33" s="41" t="str">
        <x:f>IF(ISNUMBER(B33),MAX(0,-B33),"")</x:f>
      </x:c>
      <x:c r="I33" s="41" t="str">
        <x:f>IF(COUNT(D33,F33,H33)=3,IF(AND(K33="FULL_BOUND",Profile!$B$13&lt;&gt;"",D33&gt;=0,F33&gt;=0,D33+F33&lt;=H33,OR(D33=0,E33&lt;&gt;""),OR(F33=0,G33&lt;&gt;"")),H33-D33-F33,""),"")</x:f>
      </x:c>
      <x:c r="J33" s="41" t="str">
        <x:f>IF(COUNT(C33,I33)=2,C33+I33,"")</x:f>
      </x:c>
      <x:c r="K33" s="41" t="str">
        <x:f>IF(A33="","",Profile!$B$12)</x:f>
      </x:c>
      <x:c r="L33" s="36"/>
      <x:c r="M33" s="41" t="str">
        <x:f>IF(A33="","",IF(L33="","OPENING EVIDENCE REQUIRED",IF(OR(L33=A33,COUNTIF($A$6:$A$55,L33)&lt;&gt;1,COUNTIF(Settlement!$A$6:$A$55,A33)&lt;&gt;1),"HOLD: PERIOD KEY",IF(AND(ISNUMBER(INDEX($J$6:$J$55,MATCH(L33,$A$6:$A$55,0))),ISNUMBER(INDEX(Settlement!$C$6:$C$55,MATCH(A33,Settlement!$A$6:$A$55,0)))),IF(ABS(INDEX($J$6:$J$55,MATCH(L33,$A$6:$A$55,0))-INDEX(Settlement!$C$6:$C$55,MATCH(A33,Settlement!$A$6:$A$55,0)))&lt;=Profile!$B$18,"MATCH","HOLD: OPENING DIFFERENCE"),"HOLD: MISSING BALANCE"))))</x:f>
      </x:c>
      <x:c r="N33" s="41" t="str">
        <x:f>IF(A33="","",IF(AND(COUNTIF($A$6:$A$55,A33)=1,ISNUMBER(J33),LEFT(M33,4)&lt;&gt;"HOLD"),"CALCULATED - REVIEW LEDGER","HOLD: PROFILE / POSTING"))</x:f>
      </x:c>
    </x:row>
    <x:row r="34" ht="23" customHeight="1">
      <x:c r="A34" s="38"/>
      <x:c r="B34" s="41" t="str">
        <x:f>IF(COUNTIF(Settlement!$A$6:$A$55,A34)=1,IF(ISNUMBER(INDEX(Settlement!$B$6:$B$55,MATCH(A34,Settlement!$A$6:$A$55,0))),INDEX(Settlement!$B$6:$B$55,MATCH(A34,Settlement!$A$6:$A$55,0)),""),"")</x:f>
      </x:c>
      <x:c r="C34" s="41" t="str">
        <x:f>IF(COUNTIF(Settlement!$A$6:$A$55,A34)=1,IF(ISNUMBER(INDEX(Settlement!$I$6:$I$55,MATCH(A34,Settlement!$A$6:$A$55,0))),INDEX(Settlement!$I$6:$I$55,MATCH(A34,Settlement!$A$6:$A$55,0)),""),"")</x:f>
      </x:c>
      <x:c r="D34" s="36"/>
      <x:c r="E34" s="36"/>
      <x:c r="F34" s="36"/>
      <x:c r="G34" s="36"/>
      <x:c r="H34" s="41" t="str">
        <x:f>IF(ISNUMBER(B34),MAX(0,-B34),"")</x:f>
      </x:c>
      <x:c r="I34" s="41" t="str">
        <x:f>IF(COUNT(D34,F34,H34)=3,IF(AND(K34="FULL_BOUND",Profile!$B$13&lt;&gt;"",D34&gt;=0,F34&gt;=0,D34+F34&lt;=H34,OR(D34=0,E34&lt;&gt;""),OR(F34=0,G34&lt;&gt;"")),H34-D34-F34,""),"")</x:f>
      </x:c>
      <x:c r="J34" s="41" t="str">
        <x:f>IF(COUNT(C34,I34)=2,C34+I34,"")</x:f>
      </x:c>
      <x:c r="K34" s="41" t="str">
        <x:f>IF(A34="","",Profile!$B$12)</x:f>
      </x:c>
      <x:c r="L34" s="36"/>
      <x:c r="M34" s="41" t="str">
        <x:f>IF(A34="","",IF(L34="","OPENING EVIDENCE REQUIRED",IF(OR(L34=A34,COUNTIF($A$6:$A$55,L34)&lt;&gt;1,COUNTIF(Settlement!$A$6:$A$55,A34)&lt;&gt;1),"HOLD: PERIOD KEY",IF(AND(ISNUMBER(INDEX($J$6:$J$55,MATCH(L34,$A$6:$A$55,0))),ISNUMBER(INDEX(Settlement!$C$6:$C$55,MATCH(A34,Settlement!$A$6:$A$55,0)))),IF(ABS(INDEX($J$6:$J$55,MATCH(L34,$A$6:$A$55,0))-INDEX(Settlement!$C$6:$C$55,MATCH(A34,Settlement!$A$6:$A$55,0)))&lt;=Profile!$B$18,"MATCH","HOLD: OPENING DIFFERENCE"),"HOLD: MISSING BALANCE"))))</x:f>
      </x:c>
      <x:c r="N34" s="41" t="str">
        <x:f>IF(A34="","",IF(AND(COUNTIF($A$6:$A$55,A34)=1,ISNUMBER(J34),LEFT(M34,4)&lt;&gt;"HOLD"),"CALCULATED - REVIEW LEDGER","HOLD: PROFILE / POSTING"))</x:f>
      </x:c>
    </x:row>
    <x:row r="35" ht="23" customHeight="1">
      <x:c r="A35" s="38"/>
      <x:c r="B35" s="41" t="str">
        <x:f>IF(COUNTIF(Settlement!$A$6:$A$55,A35)=1,IF(ISNUMBER(INDEX(Settlement!$B$6:$B$55,MATCH(A35,Settlement!$A$6:$A$55,0))),INDEX(Settlement!$B$6:$B$55,MATCH(A35,Settlement!$A$6:$A$55,0)),""),"")</x:f>
      </x:c>
      <x:c r="C35" s="41" t="str">
        <x:f>IF(COUNTIF(Settlement!$A$6:$A$55,A35)=1,IF(ISNUMBER(INDEX(Settlement!$I$6:$I$55,MATCH(A35,Settlement!$A$6:$A$55,0))),INDEX(Settlement!$I$6:$I$55,MATCH(A35,Settlement!$A$6:$A$55,0)),""),"")</x:f>
      </x:c>
      <x:c r="D35" s="36"/>
      <x:c r="E35" s="36"/>
      <x:c r="F35" s="36"/>
      <x:c r="G35" s="36"/>
      <x:c r="H35" s="41" t="str">
        <x:f>IF(ISNUMBER(B35),MAX(0,-B35),"")</x:f>
      </x:c>
      <x:c r="I35" s="41" t="str">
        <x:f>IF(COUNT(D35,F35,H35)=3,IF(AND(K35="FULL_BOUND",Profile!$B$13&lt;&gt;"",D35&gt;=0,F35&gt;=0,D35+F35&lt;=H35,OR(D35=0,E35&lt;&gt;""),OR(F35=0,G35&lt;&gt;"")),H35-D35-F35,""),"")</x:f>
      </x:c>
      <x:c r="J35" s="41" t="str">
        <x:f>IF(COUNT(C35,I35)=2,C35+I35,"")</x:f>
      </x:c>
      <x:c r="K35" s="41" t="str">
        <x:f>IF(A35="","",Profile!$B$12)</x:f>
      </x:c>
      <x:c r="L35" s="36"/>
      <x:c r="M35" s="41" t="str">
        <x:f>IF(A35="","",IF(L35="","OPENING EVIDENCE REQUIRED",IF(OR(L35=A35,COUNTIF($A$6:$A$55,L35)&lt;&gt;1,COUNTIF(Settlement!$A$6:$A$55,A35)&lt;&gt;1),"HOLD: PERIOD KEY",IF(AND(ISNUMBER(INDEX($J$6:$J$55,MATCH(L35,$A$6:$A$55,0))),ISNUMBER(INDEX(Settlement!$C$6:$C$55,MATCH(A35,Settlement!$A$6:$A$55,0)))),IF(ABS(INDEX($J$6:$J$55,MATCH(L35,$A$6:$A$55,0))-INDEX(Settlement!$C$6:$C$55,MATCH(A35,Settlement!$A$6:$A$55,0)))&lt;=Profile!$B$18,"MATCH","HOLD: OPENING DIFFERENCE"),"HOLD: MISSING BALANCE"))))</x:f>
      </x:c>
      <x:c r="N35" s="41" t="str">
        <x:f>IF(A35="","",IF(AND(COUNTIF($A$6:$A$55,A35)=1,ISNUMBER(J35),LEFT(M35,4)&lt;&gt;"HOLD"),"CALCULATED - REVIEW LEDGER","HOLD: PROFILE / POSTING"))</x:f>
      </x:c>
    </x:row>
    <x:row r="36" ht="23" customHeight="1">
      <x:c r="A36" s="38"/>
      <x:c r="B36" s="41" t="str">
        <x:f>IF(COUNTIF(Settlement!$A$6:$A$55,A36)=1,IF(ISNUMBER(INDEX(Settlement!$B$6:$B$55,MATCH(A36,Settlement!$A$6:$A$55,0))),INDEX(Settlement!$B$6:$B$55,MATCH(A36,Settlement!$A$6:$A$55,0)),""),"")</x:f>
      </x:c>
      <x:c r="C36" s="41" t="str">
        <x:f>IF(COUNTIF(Settlement!$A$6:$A$55,A36)=1,IF(ISNUMBER(INDEX(Settlement!$I$6:$I$55,MATCH(A36,Settlement!$A$6:$A$55,0))),INDEX(Settlement!$I$6:$I$55,MATCH(A36,Settlement!$A$6:$A$55,0)),""),"")</x:f>
      </x:c>
      <x:c r="D36" s="36"/>
      <x:c r="E36" s="36"/>
      <x:c r="F36" s="36"/>
      <x:c r="G36" s="36"/>
      <x:c r="H36" s="41" t="str">
        <x:f>IF(ISNUMBER(B36),MAX(0,-B36),"")</x:f>
      </x:c>
      <x:c r="I36" s="41" t="str">
        <x:f>IF(COUNT(D36,F36,H36)=3,IF(AND(K36="FULL_BOUND",Profile!$B$13&lt;&gt;"",D36&gt;=0,F36&gt;=0,D36+F36&lt;=H36,OR(D36=0,E36&lt;&gt;""),OR(F36=0,G36&lt;&gt;"")),H36-D36-F36,""),"")</x:f>
      </x:c>
      <x:c r="J36" s="41" t="str">
        <x:f>IF(COUNT(C36,I36)=2,C36+I36,"")</x:f>
      </x:c>
      <x:c r="K36" s="41" t="str">
        <x:f>IF(A36="","",Profile!$B$12)</x:f>
      </x:c>
      <x:c r="L36" s="36"/>
      <x:c r="M36" s="41" t="str">
        <x:f>IF(A36="","",IF(L36="","OPENING EVIDENCE REQUIRED",IF(OR(L36=A36,COUNTIF($A$6:$A$55,L36)&lt;&gt;1,COUNTIF(Settlement!$A$6:$A$55,A36)&lt;&gt;1),"HOLD: PERIOD KEY",IF(AND(ISNUMBER(INDEX($J$6:$J$55,MATCH(L36,$A$6:$A$55,0))),ISNUMBER(INDEX(Settlement!$C$6:$C$55,MATCH(A36,Settlement!$A$6:$A$55,0)))),IF(ABS(INDEX($J$6:$J$55,MATCH(L36,$A$6:$A$55,0))-INDEX(Settlement!$C$6:$C$55,MATCH(A36,Settlement!$A$6:$A$55,0)))&lt;=Profile!$B$18,"MATCH","HOLD: OPENING DIFFERENCE"),"HOLD: MISSING BALANCE"))))</x:f>
      </x:c>
      <x:c r="N36" s="41" t="str">
        <x:f>IF(A36="","",IF(AND(COUNTIF($A$6:$A$55,A36)=1,ISNUMBER(J36),LEFT(M36,4)&lt;&gt;"HOLD"),"CALCULATED - REVIEW LEDGER","HOLD: PROFILE / POSTING"))</x:f>
      </x:c>
    </x:row>
    <x:row r="37" ht="23" customHeight="1">
      <x:c r="A37" s="38"/>
      <x:c r="B37" s="41" t="str">
        <x:f>IF(COUNTIF(Settlement!$A$6:$A$55,A37)=1,IF(ISNUMBER(INDEX(Settlement!$B$6:$B$55,MATCH(A37,Settlement!$A$6:$A$55,0))),INDEX(Settlement!$B$6:$B$55,MATCH(A37,Settlement!$A$6:$A$55,0)),""),"")</x:f>
      </x:c>
      <x:c r="C37" s="41" t="str">
        <x:f>IF(COUNTIF(Settlement!$A$6:$A$55,A37)=1,IF(ISNUMBER(INDEX(Settlement!$I$6:$I$55,MATCH(A37,Settlement!$A$6:$A$55,0))),INDEX(Settlement!$I$6:$I$55,MATCH(A37,Settlement!$A$6:$A$55,0)),""),"")</x:f>
      </x:c>
      <x:c r="D37" s="36"/>
      <x:c r="E37" s="36"/>
      <x:c r="F37" s="36"/>
      <x:c r="G37" s="36"/>
      <x:c r="H37" s="41" t="str">
        <x:f>IF(ISNUMBER(B37),MAX(0,-B37),"")</x:f>
      </x:c>
      <x:c r="I37" s="41" t="str">
        <x:f>IF(COUNT(D37,F37,H37)=3,IF(AND(K37="FULL_BOUND",Profile!$B$13&lt;&gt;"",D37&gt;=0,F37&gt;=0,D37+F37&lt;=H37,OR(D37=0,E37&lt;&gt;""),OR(F37=0,G37&lt;&gt;"")),H37-D37-F37,""),"")</x:f>
      </x:c>
      <x:c r="J37" s="41" t="str">
        <x:f>IF(COUNT(C37,I37)=2,C37+I37,"")</x:f>
      </x:c>
      <x:c r="K37" s="41" t="str">
        <x:f>IF(A37="","",Profile!$B$12)</x:f>
      </x:c>
      <x:c r="L37" s="36"/>
      <x:c r="M37" s="41" t="str">
        <x:f>IF(A37="","",IF(L37="","OPENING EVIDENCE REQUIRED",IF(OR(L37=A37,COUNTIF($A$6:$A$55,L37)&lt;&gt;1,COUNTIF(Settlement!$A$6:$A$55,A37)&lt;&gt;1),"HOLD: PERIOD KEY",IF(AND(ISNUMBER(INDEX($J$6:$J$55,MATCH(L37,$A$6:$A$55,0))),ISNUMBER(INDEX(Settlement!$C$6:$C$55,MATCH(A37,Settlement!$A$6:$A$55,0)))),IF(ABS(INDEX($J$6:$J$55,MATCH(L37,$A$6:$A$55,0))-INDEX(Settlement!$C$6:$C$55,MATCH(A37,Settlement!$A$6:$A$55,0)))&lt;=Profile!$B$18,"MATCH","HOLD: OPENING DIFFERENCE"),"HOLD: MISSING BALANCE"))))</x:f>
      </x:c>
      <x:c r="N37" s="41" t="str">
        <x:f>IF(A37="","",IF(AND(COUNTIF($A$6:$A$55,A37)=1,ISNUMBER(J37),LEFT(M37,4)&lt;&gt;"HOLD"),"CALCULATED - REVIEW LEDGER","HOLD: PROFILE / POSTING"))</x:f>
      </x:c>
    </x:row>
    <x:row r="38" ht="23" customHeight="1">
      <x:c r="A38" s="38"/>
      <x:c r="B38" s="41" t="str">
        <x:f>IF(COUNTIF(Settlement!$A$6:$A$55,A38)=1,IF(ISNUMBER(INDEX(Settlement!$B$6:$B$55,MATCH(A38,Settlement!$A$6:$A$55,0))),INDEX(Settlement!$B$6:$B$55,MATCH(A38,Settlement!$A$6:$A$55,0)),""),"")</x:f>
      </x:c>
      <x:c r="C38" s="41" t="str">
        <x:f>IF(COUNTIF(Settlement!$A$6:$A$55,A38)=1,IF(ISNUMBER(INDEX(Settlement!$I$6:$I$55,MATCH(A38,Settlement!$A$6:$A$55,0))),INDEX(Settlement!$I$6:$I$55,MATCH(A38,Settlement!$A$6:$A$55,0)),""),"")</x:f>
      </x:c>
      <x:c r="D38" s="36"/>
      <x:c r="E38" s="36"/>
      <x:c r="F38" s="36"/>
      <x:c r="G38" s="36"/>
      <x:c r="H38" s="41" t="str">
        <x:f>IF(ISNUMBER(B38),MAX(0,-B38),"")</x:f>
      </x:c>
      <x:c r="I38" s="41" t="str">
        <x:f>IF(COUNT(D38,F38,H38)=3,IF(AND(K38="FULL_BOUND",Profile!$B$13&lt;&gt;"",D38&gt;=0,F38&gt;=0,D38+F38&lt;=H38,OR(D38=0,E38&lt;&gt;""),OR(F38=0,G38&lt;&gt;"")),H38-D38-F38,""),"")</x:f>
      </x:c>
      <x:c r="J38" s="41" t="str">
        <x:f>IF(COUNT(C38,I38)=2,C38+I38,"")</x:f>
      </x:c>
      <x:c r="K38" s="41" t="str">
        <x:f>IF(A38="","",Profile!$B$12)</x:f>
      </x:c>
      <x:c r="L38" s="36"/>
      <x:c r="M38" s="41" t="str">
        <x:f>IF(A38="","",IF(L38="","OPENING EVIDENCE REQUIRED",IF(OR(L38=A38,COUNTIF($A$6:$A$55,L38)&lt;&gt;1,COUNTIF(Settlement!$A$6:$A$55,A38)&lt;&gt;1),"HOLD: PERIOD KEY",IF(AND(ISNUMBER(INDEX($J$6:$J$55,MATCH(L38,$A$6:$A$55,0))),ISNUMBER(INDEX(Settlement!$C$6:$C$55,MATCH(A38,Settlement!$A$6:$A$55,0)))),IF(ABS(INDEX($J$6:$J$55,MATCH(L38,$A$6:$A$55,0))-INDEX(Settlement!$C$6:$C$55,MATCH(A38,Settlement!$A$6:$A$55,0)))&lt;=Profile!$B$18,"MATCH","HOLD: OPENING DIFFERENCE"),"HOLD: MISSING BALANCE"))))</x:f>
      </x:c>
      <x:c r="N38" s="41" t="str">
        <x:f>IF(A38="","",IF(AND(COUNTIF($A$6:$A$55,A38)=1,ISNUMBER(J38),LEFT(M38,4)&lt;&gt;"HOLD"),"CALCULATED - REVIEW LEDGER","HOLD: PROFILE / POSTING"))</x:f>
      </x:c>
    </x:row>
    <x:row r="39" ht="23" customHeight="1">
      <x:c r="A39" s="38"/>
      <x:c r="B39" s="41" t="str">
        <x:f>IF(COUNTIF(Settlement!$A$6:$A$55,A39)=1,IF(ISNUMBER(INDEX(Settlement!$B$6:$B$55,MATCH(A39,Settlement!$A$6:$A$55,0))),INDEX(Settlement!$B$6:$B$55,MATCH(A39,Settlement!$A$6:$A$55,0)),""),"")</x:f>
      </x:c>
      <x:c r="C39" s="41" t="str">
        <x:f>IF(COUNTIF(Settlement!$A$6:$A$55,A39)=1,IF(ISNUMBER(INDEX(Settlement!$I$6:$I$55,MATCH(A39,Settlement!$A$6:$A$55,0))),INDEX(Settlement!$I$6:$I$55,MATCH(A39,Settlement!$A$6:$A$55,0)),""),"")</x:f>
      </x:c>
      <x:c r="D39" s="36"/>
      <x:c r="E39" s="36"/>
      <x:c r="F39" s="36"/>
      <x:c r="G39" s="36"/>
      <x:c r="H39" s="41" t="str">
        <x:f>IF(ISNUMBER(B39),MAX(0,-B39),"")</x:f>
      </x:c>
      <x:c r="I39" s="41" t="str">
        <x:f>IF(COUNT(D39,F39,H39)=3,IF(AND(K39="FULL_BOUND",Profile!$B$13&lt;&gt;"",D39&gt;=0,F39&gt;=0,D39+F39&lt;=H39,OR(D39=0,E39&lt;&gt;""),OR(F39=0,G39&lt;&gt;"")),H39-D39-F39,""),"")</x:f>
      </x:c>
      <x:c r="J39" s="41" t="str">
        <x:f>IF(COUNT(C39,I39)=2,C39+I39,"")</x:f>
      </x:c>
      <x:c r="K39" s="41" t="str">
        <x:f>IF(A39="","",Profile!$B$12)</x:f>
      </x:c>
      <x:c r="L39" s="36"/>
      <x:c r="M39" s="41" t="str">
        <x:f>IF(A39="","",IF(L39="","OPENING EVIDENCE REQUIRED",IF(OR(L39=A39,COUNTIF($A$6:$A$55,L39)&lt;&gt;1,COUNTIF(Settlement!$A$6:$A$55,A39)&lt;&gt;1),"HOLD: PERIOD KEY",IF(AND(ISNUMBER(INDEX($J$6:$J$55,MATCH(L39,$A$6:$A$55,0))),ISNUMBER(INDEX(Settlement!$C$6:$C$55,MATCH(A39,Settlement!$A$6:$A$55,0)))),IF(ABS(INDEX($J$6:$J$55,MATCH(L39,$A$6:$A$55,0))-INDEX(Settlement!$C$6:$C$55,MATCH(A39,Settlement!$A$6:$A$55,0)))&lt;=Profile!$B$18,"MATCH","HOLD: OPENING DIFFERENCE"),"HOLD: MISSING BALANCE"))))</x:f>
      </x:c>
      <x:c r="N39" s="41" t="str">
        <x:f>IF(A39="","",IF(AND(COUNTIF($A$6:$A$55,A39)=1,ISNUMBER(J39),LEFT(M39,4)&lt;&gt;"HOLD"),"CALCULATED - REVIEW LEDGER","HOLD: PROFILE / POSTING"))</x:f>
      </x:c>
    </x:row>
    <x:row r="40" ht="23" customHeight="1">
      <x:c r="A40" s="38"/>
      <x:c r="B40" s="41" t="str">
        <x:f>IF(COUNTIF(Settlement!$A$6:$A$55,A40)=1,IF(ISNUMBER(INDEX(Settlement!$B$6:$B$55,MATCH(A40,Settlement!$A$6:$A$55,0))),INDEX(Settlement!$B$6:$B$55,MATCH(A40,Settlement!$A$6:$A$55,0)),""),"")</x:f>
      </x:c>
      <x:c r="C40" s="41" t="str">
        <x:f>IF(COUNTIF(Settlement!$A$6:$A$55,A40)=1,IF(ISNUMBER(INDEX(Settlement!$I$6:$I$55,MATCH(A40,Settlement!$A$6:$A$55,0))),INDEX(Settlement!$I$6:$I$55,MATCH(A40,Settlement!$A$6:$A$55,0)),""),"")</x:f>
      </x:c>
      <x:c r="D40" s="36"/>
      <x:c r="E40" s="36"/>
      <x:c r="F40" s="36"/>
      <x:c r="G40" s="36"/>
      <x:c r="H40" s="41" t="str">
        <x:f>IF(ISNUMBER(B40),MAX(0,-B40),"")</x:f>
      </x:c>
      <x:c r="I40" s="41" t="str">
        <x:f>IF(COUNT(D40,F40,H40)=3,IF(AND(K40="FULL_BOUND",Profile!$B$13&lt;&gt;"",D40&gt;=0,F40&gt;=0,D40+F40&lt;=H40,OR(D40=0,E40&lt;&gt;""),OR(F40=0,G40&lt;&gt;"")),H40-D40-F40,""),"")</x:f>
      </x:c>
      <x:c r="J40" s="41" t="str">
        <x:f>IF(COUNT(C40,I40)=2,C40+I40,"")</x:f>
      </x:c>
      <x:c r="K40" s="41" t="str">
        <x:f>IF(A40="","",Profile!$B$12)</x:f>
      </x:c>
      <x:c r="L40" s="36"/>
      <x:c r="M40" s="41" t="str">
        <x:f>IF(A40="","",IF(L40="","OPENING EVIDENCE REQUIRED",IF(OR(L40=A40,COUNTIF($A$6:$A$55,L40)&lt;&gt;1,COUNTIF(Settlement!$A$6:$A$55,A40)&lt;&gt;1),"HOLD: PERIOD KEY",IF(AND(ISNUMBER(INDEX($J$6:$J$55,MATCH(L40,$A$6:$A$55,0))),ISNUMBER(INDEX(Settlement!$C$6:$C$55,MATCH(A40,Settlement!$A$6:$A$55,0)))),IF(ABS(INDEX($J$6:$J$55,MATCH(L40,$A$6:$A$55,0))-INDEX(Settlement!$C$6:$C$55,MATCH(A40,Settlement!$A$6:$A$55,0)))&lt;=Profile!$B$18,"MATCH","HOLD: OPENING DIFFERENCE"),"HOLD: MISSING BALANCE"))))</x:f>
      </x:c>
      <x:c r="N40" s="41" t="str">
        <x:f>IF(A40="","",IF(AND(COUNTIF($A$6:$A$55,A40)=1,ISNUMBER(J40),LEFT(M40,4)&lt;&gt;"HOLD"),"CALCULATED - REVIEW LEDGER","HOLD: PROFILE / POSTING"))</x:f>
      </x:c>
    </x:row>
    <x:row r="41" ht="23" customHeight="1">
      <x:c r="A41" s="38"/>
      <x:c r="B41" s="41" t="str">
        <x:f>IF(COUNTIF(Settlement!$A$6:$A$55,A41)=1,IF(ISNUMBER(INDEX(Settlement!$B$6:$B$55,MATCH(A41,Settlement!$A$6:$A$55,0))),INDEX(Settlement!$B$6:$B$55,MATCH(A41,Settlement!$A$6:$A$55,0)),""),"")</x:f>
      </x:c>
      <x:c r="C41" s="41" t="str">
        <x:f>IF(COUNTIF(Settlement!$A$6:$A$55,A41)=1,IF(ISNUMBER(INDEX(Settlement!$I$6:$I$55,MATCH(A41,Settlement!$A$6:$A$55,0))),INDEX(Settlement!$I$6:$I$55,MATCH(A41,Settlement!$A$6:$A$55,0)),""),"")</x:f>
      </x:c>
      <x:c r="D41" s="36"/>
      <x:c r="E41" s="36"/>
      <x:c r="F41" s="36"/>
      <x:c r="G41" s="36"/>
      <x:c r="H41" s="41" t="str">
        <x:f>IF(ISNUMBER(B41),MAX(0,-B41),"")</x:f>
      </x:c>
      <x:c r="I41" s="41" t="str">
        <x:f>IF(COUNT(D41,F41,H41)=3,IF(AND(K41="FULL_BOUND",Profile!$B$13&lt;&gt;"",D41&gt;=0,F41&gt;=0,D41+F41&lt;=H41,OR(D41=0,E41&lt;&gt;""),OR(F41=0,G41&lt;&gt;"")),H41-D41-F41,""),"")</x:f>
      </x:c>
      <x:c r="J41" s="41" t="str">
        <x:f>IF(COUNT(C41,I41)=2,C41+I41,"")</x:f>
      </x:c>
      <x:c r="K41" s="41" t="str">
        <x:f>IF(A41="","",Profile!$B$12)</x:f>
      </x:c>
      <x:c r="L41" s="36"/>
      <x:c r="M41" s="41" t="str">
        <x:f>IF(A41="","",IF(L41="","OPENING EVIDENCE REQUIRED",IF(OR(L41=A41,COUNTIF($A$6:$A$55,L41)&lt;&gt;1,COUNTIF(Settlement!$A$6:$A$55,A41)&lt;&gt;1),"HOLD: PERIOD KEY",IF(AND(ISNUMBER(INDEX($J$6:$J$55,MATCH(L41,$A$6:$A$55,0))),ISNUMBER(INDEX(Settlement!$C$6:$C$55,MATCH(A41,Settlement!$A$6:$A$55,0)))),IF(ABS(INDEX($J$6:$J$55,MATCH(L41,$A$6:$A$55,0))-INDEX(Settlement!$C$6:$C$55,MATCH(A41,Settlement!$A$6:$A$55,0)))&lt;=Profile!$B$18,"MATCH","HOLD: OPENING DIFFERENCE"),"HOLD: MISSING BALANCE"))))</x:f>
      </x:c>
      <x:c r="N41" s="41" t="str">
        <x:f>IF(A41="","",IF(AND(COUNTIF($A$6:$A$55,A41)=1,ISNUMBER(J41),LEFT(M41,4)&lt;&gt;"HOLD"),"CALCULATED - REVIEW LEDGER","HOLD: PROFILE / POSTING"))</x:f>
      </x:c>
    </x:row>
    <x:row r="42" ht="23" customHeight="1">
      <x:c r="A42" s="38"/>
      <x:c r="B42" s="41" t="str">
        <x:f>IF(COUNTIF(Settlement!$A$6:$A$55,A42)=1,IF(ISNUMBER(INDEX(Settlement!$B$6:$B$55,MATCH(A42,Settlement!$A$6:$A$55,0))),INDEX(Settlement!$B$6:$B$55,MATCH(A42,Settlement!$A$6:$A$55,0)),""),"")</x:f>
      </x:c>
      <x:c r="C42" s="41" t="str">
        <x:f>IF(COUNTIF(Settlement!$A$6:$A$55,A42)=1,IF(ISNUMBER(INDEX(Settlement!$I$6:$I$55,MATCH(A42,Settlement!$A$6:$A$55,0))),INDEX(Settlement!$I$6:$I$55,MATCH(A42,Settlement!$A$6:$A$55,0)),""),"")</x:f>
      </x:c>
      <x:c r="D42" s="36"/>
      <x:c r="E42" s="36"/>
      <x:c r="F42" s="36"/>
      <x:c r="G42" s="36"/>
      <x:c r="H42" s="41" t="str">
        <x:f>IF(ISNUMBER(B42),MAX(0,-B42),"")</x:f>
      </x:c>
      <x:c r="I42" s="41" t="str">
        <x:f>IF(COUNT(D42,F42,H42)=3,IF(AND(K42="FULL_BOUND",Profile!$B$13&lt;&gt;"",D42&gt;=0,F42&gt;=0,D42+F42&lt;=H42,OR(D42=0,E42&lt;&gt;""),OR(F42=0,G42&lt;&gt;"")),H42-D42-F42,""),"")</x:f>
      </x:c>
      <x:c r="J42" s="41" t="str">
        <x:f>IF(COUNT(C42,I42)=2,C42+I42,"")</x:f>
      </x:c>
      <x:c r="K42" s="41" t="str">
        <x:f>IF(A42="","",Profile!$B$12)</x:f>
      </x:c>
      <x:c r="L42" s="36"/>
      <x:c r="M42" s="41" t="str">
        <x:f>IF(A42="","",IF(L42="","OPENING EVIDENCE REQUIRED",IF(OR(L42=A42,COUNTIF($A$6:$A$55,L42)&lt;&gt;1,COUNTIF(Settlement!$A$6:$A$55,A42)&lt;&gt;1),"HOLD: PERIOD KEY",IF(AND(ISNUMBER(INDEX($J$6:$J$55,MATCH(L42,$A$6:$A$55,0))),ISNUMBER(INDEX(Settlement!$C$6:$C$55,MATCH(A42,Settlement!$A$6:$A$55,0)))),IF(ABS(INDEX($J$6:$J$55,MATCH(L42,$A$6:$A$55,0))-INDEX(Settlement!$C$6:$C$55,MATCH(A42,Settlement!$A$6:$A$55,0)))&lt;=Profile!$B$18,"MATCH","HOLD: OPENING DIFFERENCE"),"HOLD: MISSING BALANCE"))))</x:f>
      </x:c>
      <x:c r="N42" s="41" t="str">
        <x:f>IF(A42="","",IF(AND(COUNTIF($A$6:$A$55,A42)=1,ISNUMBER(J42),LEFT(M42,4)&lt;&gt;"HOLD"),"CALCULATED - REVIEW LEDGER","HOLD: PROFILE / POSTING"))</x:f>
      </x:c>
    </x:row>
    <x:row r="43" ht="23" customHeight="1">
      <x:c r="A43" s="38"/>
      <x:c r="B43" s="41" t="str">
        <x:f>IF(COUNTIF(Settlement!$A$6:$A$55,A43)=1,IF(ISNUMBER(INDEX(Settlement!$B$6:$B$55,MATCH(A43,Settlement!$A$6:$A$55,0))),INDEX(Settlement!$B$6:$B$55,MATCH(A43,Settlement!$A$6:$A$55,0)),""),"")</x:f>
      </x:c>
      <x:c r="C43" s="41" t="str">
        <x:f>IF(COUNTIF(Settlement!$A$6:$A$55,A43)=1,IF(ISNUMBER(INDEX(Settlement!$I$6:$I$55,MATCH(A43,Settlement!$A$6:$A$55,0))),INDEX(Settlement!$I$6:$I$55,MATCH(A43,Settlement!$A$6:$A$55,0)),""),"")</x:f>
      </x:c>
      <x:c r="D43" s="36"/>
      <x:c r="E43" s="36"/>
      <x:c r="F43" s="36"/>
      <x:c r="G43" s="36"/>
      <x:c r="H43" s="41" t="str">
        <x:f>IF(ISNUMBER(B43),MAX(0,-B43),"")</x:f>
      </x:c>
      <x:c r="I43" s="41" t="str">
        <x:f>IF(COUNT(D43,F43,H43)=3,IF(AND(K43="FULL_BOUND",Profile!$B$13&lt;&gt;"",D43&gt;=0,F43&gt;=0,D43+F43&lt;=H43,OR(D43=0,E43&lt;&gt;""),OR(F43=0,G43&lt;&gt;"")),H43-D43-F43,""),"")</x:f>
      </x:c>
      <x:c r="J43" s="41" t="str">
        <x:f>IF(COUNT(C43,I43)=2,C43+I43,"")</x:f>
      </x:c>
      <x:c r="K43" s="41" t="str">
        <x:f>IF(A43="","",Profile!$B$12)</x:f>
      </x:c>
      <x:c r="L43" s="36"/>
      <x:c r="M43" s="41" t="str">
        <x:f>IF(A43="","",IF(L43="","OPENING EVIDENCE REQUIRED",IF(OR(L43=A43,COUNTIF($A$6:$A$55,L43)&lt;&gt;1,COUNTIF(Settlement!$A$6:$A$55,A43)&lt;&gt;1),"HOLD: PERIOD KEY",IF(AND(ISNUMBER(INDEX($J$6:$J$55,MATCH(L43,$A$6:$A$55,0))),ISNUMBER(INDEX(Settlement!$C$6:$C$55,MATCH(A43,Settlement!$A$6:$A$55,0)))),IF(ABS(INDEX($J$6:$J$55,MATCH(L43,$A$6:$A$55,0))-INDEX(Settlement!$C$6:$C$55,MATCH(A43,Settlement!$A$6:$A$55,0)))&lt;=Profile!$B$18,"MATCH","HOLD: OPENING DIFFERENCE"),"HOLD: MISSING BALANCE"))))</x:f>
      </x:c>
      <x:c r="N43" s="41" t="str">
        <x:f>IF(A43="","",IF(AND(COUNTIF($A$6:$A$55,A43)=1,ISNUMBER(J43),LEFT(M43,4)&lt;&gt;"HOLD"),"CALCULATED - REVIEW LEDGER","HOLD: PROFILE / POSTING"))</x:f>
      </x:c>
    </x:row>
    <x:row r="44" ht="23" customHeight="1">
      <x:c r="A44" s="38"/>
      <x:c r="B44" s="41" t="str">
        <x:f>IF(COUNTIF(Settlement!$A$6:$A$55,A44)=1,IF(ISNUMBER(INDEX(Settlement!$B$6:$B$55,MATCH(A44,Settlement!$A$6:$A$55,0))),INDEX(Settlement!$B$6:$B$55,MATCH(A44,Settlement!$A$6:$A$55,0)),""),"")</x:f>
      </x:c>
      <x:c r="C44" s="41" t="str">
        <x:f>IF(COUNTIF(Settlement!$A$6:$A$55,A44)=1,IF(ISNUMBER(INDEX(Settlement!$I$6:$I$55,MATCH(A44,Settlement!$A$6:$A$55,0))),INDEX(Settlement!$I$6:$I$55,MATCH(A44,Settlement!$A$6:$A$55,0)),""),"")</x:f>
      </x:c>
      <x:c r="D44" s="36"/>
      <x:c r="E44" s="36"/>
      <x:c r="F44" s="36"/>
      <x:c r="G44" s="36"/>
      <x:c r="H44" s="41" t="str">
        <x:f>IF(ISNUMBER(B44),MAX(0,-B44),"")</x:f>
      </x:c>
      <x:c r="I44" s="41" t="str">
        <x:f>IF(COUNT(D44,F44,H44)=3,IF(AND(K44="FULL_BOUND",Profile!$B$13&lt;&gt;"",D44&gt;=0,F44&gt;=0,D44+F44&lt;=H44,OR(D44=0,E44&lt;&gt;""),OR(F44=0,G44&lt;&gt;"")),H44-D44-F44,""),"")</x:f>
      </x:c>
      <x:c r="J44" s="41" t="str">
        <x:f>IF(COUNT(C44,I44)=2,C44+I44,"")</x:f>
      </x:c>
      <x:c r="K44" s="41" t="str">
        <x:f>IF(A44="","",Profile!$B$12)</x:f>
      </x:c>
      <x:c r="L44" s="36"/>
      <x:c r="M44" s="41" t="str">
        <x:f>IF(A44="","",IF(L44="","OPENING EVIDENCE REQUIRED",IF(OR(L44=A44,COUNTIF($A$6:$A$55,L44)&lt;&gt;1,COUNTIF(Settlement!$A$6:$A$55,A44)&lt;&gt;1),"HOLD: PERIOD KEY",IF(AND(ISNUMBER(INDEX($J$6:$J$55,MATCH(L44,$A$6:$A$55,0))),ISNUMBER(INDEX(Settlement!$C$6:$C$55,MATCH(A44,Settlement!$A$6:$A$55,0)))),IF(ABS(INDEX($J$6:$J$55,MATCH(L44,$A$6:$A$55,0))-INDEX(Settlement!$C$6:$C$55,MATCH(A44,Settlement!$A$6:$A$55,0)))&lt;=Profile!$B$18,"MATCH","HOLD: OPENING DIFFERENCE"),"HOLD: MISSING BALANCE"))))</x:f>
      </x:c>
      <x:c r="N44" s="41" t="str">
        <x:f>IF(A44="","",IF(AND(COUNTIF($A$6:$A$55,A44)=1,ISNUMBER(J44),LEFT(M44,4)&lt;&gt;"HOLD"),"CALCULATED - REVIEW LEDGER","HOLD: PROFILE / POSTING"))</x:f>
      </x:c>
    </x:row>
    <x:row r="45" ht="23" customHeight="1">
      <x:c r="A45" s="38"/>
      <x:c r="B45" s="41" t="str">
        <x:f>IF(COUNTIF(Settlement!$A$6:$A$55,A45)=1,IF(ISNUMBER(INDEX(Settlement!$B$6:$B$55,MATCH(A45,Settlement!$A$6:$A$55,0))),INDEX(Settlement!$B$6:$B$55,MATCH(A45,Settlement!$A$6:$A$55,0)),""),"")</x:f>
      </x:c>
      <x:c r="C45" s="41" t="str">
        <x:f>IF(COUNTIF(Settlement!$A$6:$A$55,A45)=1,IF(ISNUMBER(INDEX(Settlement!$I$6:$I$55,MATCH(A45,Settlement!$A$6:$A$55,0))),INDEX(Settlement!$I$6:$I$55,MATCH(A45,Settlement!$A$6:$A$55,0)),""),"")</x:f>
      </x:c>
      <x:c r="D45" s="36"/>
      <x:c r="E45" s="36"/>
      <x:c r="F45" s="36"/>
      <x:c r="G45" s="36"/>
      <x:c r="H45" s="41" t="str">
        <x:f>IF(ISNUMBER(B45),MAX(0,-B45),"")</x:f>
      </x:c>
      <x:c r="I45" s="41" t="str">
        <x:f>IF(COUNT(D45,F45,H45)=3,IF(AND(K45="FULL_BOUND",Profile!$B$13&lt;&gt;"",D45&gt;=0,F45&gt;=0,D45+F45&lt;=H45,OR(D45=0,E45&lt;&gt;""),OR(F45=0,G45&lt;&gt;"")),H45-D45-F45,""),"")</x:f>
      </x:c>
      <x:c r="J45" s="41" t="str">
        <x:f>IF(COUNT(C45,I45)=2,C45+I45,"")</x:f>
      </x:c>
      <x:c r="K45" s="41" t="str">
        <x:f>IF(A45="","",Profile!$B$12)</x:f>
      </x:c>
      <x:c r="L45" s="36"/>
      <x:c r="M45" s="41" t="str">
        <x:f>IF(A45="","",IF(L45="","OPENING EVIDENCE REQUIRED",IF(OR(L45=A45,COUNTIF($A$6:$A$55,L45)&lt;&gt;1,COUNTIF(Settlement!$A$6:$A$55,A45)&lt;&gt;1),"HOLD: PERIOD KEY",IF(AND(ISNUMBER(INDEX($J$6:$J$55,MATCH(L45,$A$6:$A$55,0))),ISNUMBER(INDEX(Settlement!$C$6:$C$55,MATCH(A45,Settlement!$A$6:$A$55,0)))),IF(ABS(INDEX($J$6:$J$55,MATCH(L45,$A$6:$A$55,0))-INDEX(Settlement!$C$6:$C$55,MATCH(A45,Settlement!$A$6:$A$55,0)))&lt;=Profile!$B$18,"MATCH","HOLD: OPENING DIFFERENCE"),"HOLD: MISSING BALANCE"))))</x:f>
      </x:c>
      <x:c r="N45" s="41" t="str">
        <x:f>IF(A45="","",IF(AND(COUNTIF($A$6:$A$55,A45)=1,ISNUMBER(J45),LEFT(M45,4)&lt;&gt;"HOLD"),"CALCULATED - REVIEW LEDGER","HOLD: PROFILE / POSTING"))</x:f>
      </x:c>
    </x:row>
    <x:row r="46" ht="23" customHeight="1">
      <x:c r="A46" s="38"/>
      <x:c r="B46" s="41" t="str">
        <x:f>IF(COUNTIF(Settlement!$A$6:$A$55,A46)=1,IF(ISNUMBER(INDEX(Settlement!$B$6:$B$55,MATCH(A46,Settlement!$A$6:$A$55,0))),INDEX(Settlement!$B$6:$B$55,MATCH(A46,Settlement!$A$6:$A$55,0)),""),"")</x:f>
      </x:c>
      <x:c r="C46" s="41" t="str">
        <x:f>IF(COUNTIF(Settlement!$A$6:$A$55,A46)=1,IF(ISNUMBER(INDEX(Settlement!$I$6:$I$55,MATCH(A46,Settlement!$A$6:$A$55,0))),INDEX(Settlement!$I$6:$I$55,MATCH(A46,Settlement!$A$6:$A$55,0)),""),"")</x:f>
      </x:c>
      <x:c r="D46" s="36"/>
      <x:c r="E46" s="36"/>
      <x:c r="F46" s="36"/>
      <x:c r="G46" s="36"/>
      <x:c r="H46" s="41" t="str">
        <x:f>IF(ISNUMBER(B46),MAX(0,-B46),"")</x:f>
      </x:c>
      <x:c r="I46" s="41" t="str">
        <x:f>IF(COUNT(D46,F46,H46)=3,IF(AND(K46="FULL_BOUND",Profile!$B$13&lt;&gt;"",D46&gt;=0,F46&gt;=0,D46+F46&lt;=H46,OR(D46=0,E46&lt;&gt;""),OR(F46=0,G46&lt;&gt;"")),H46-D46-F46,""),"")</x:f>
      </x:c>
      <x:c r="J46" s="41" t="str">
        <x:f>IF(COUNT(C46,I46)=2,C46+I46,"")</x:f>
      </x:c>
      <x:c r="K46" s="41" t="str">
        <x:f>IF(A46="","",Profile!$B$12)</x:f>
      </x:c>
      <x:c r="L46" s="36"/>
      <x:c r="M46" s="41" t="str">
        <x:f>IF(A46="","",IF(L46="","OPENING EVIDENCE REQUIRED",IF(OR(L46=A46,COUNTIF($A$6:$A$55,L46)&lt;&gt;1,COUNTIF(Settlement!$A$6:$A$55,A46)&lt;&gt;1),"HOLD: PERIOD KEY",IF(AND(ISNUMBER(INDEX($J$6:$J$55,MATCH(L46,$A$6:$A$55,0))),ISNUMBER(INDEX(Settlement!$C$6:$C$55,MATCH(A46,Settlement!$A$6:$A$55,0)))),IF(ABS(INDEX($J$6:$J$55,MATCH(L46,$A$6:$A$55,0))-INDEX(Settlement!$C$6:$C$55,MATCH(A46,Settlement!$A$6:$A$55,0)))&lt;=Profile!$B$18,"MATCH","HOLD: OPENING DIFFERENCE"),"HOLD: MISSING BALANCE"))))</x:f>
      </x:c>
      <x:c r="N46" s="41" t="str">
        <x:f>IF(A46="","",IF(AND(COUNTIF($A$6:$A$55,A46)=1,ISNUMBER(J46),LEFT(M46,4)&lt;&gt;"HOLD"),"CALCULATED - REVIEW LEDGER","HOLD: PROFILE / POSTING"))</x:f>
      </x:c>
    </x:row>
    <x:row r="47" ht="23" customHeight="1">
      <x:c r="A47" s="38"/>
      <x:c r="B47" s="41" t="str">
        <x:f>IF(COUNTIF(Settlement!$A$6:$A$55,A47)=1,IF(ISNUMBER(INDEX(Settlement!$B$6:$B$55,MATCH(A47,Settlement!$A$6:$A$55,0))),INDEX(Settlement!$B$6:$B$55,MATCH(A47,Settlement!$A$6:$A$55,0)),""),"")</x:f>
      </x:c>
      <x:c r="C47" s="41" t="str">
        <x:f>IF(COUNTIF(Settlement!$A$6:$A$55,A47)=1,IF(ISNUMBER(INDEX(Settlement!$I$6:$I$55,MATCH(A47,Settlement!$A$6:$A$55,0))),INDEX(Settlement!$I$6:$I$55,MATCH(A47,Settlement!$A$6:$A$55,0)),""),"")</x:f>
      </x:c>
      <x:c r="D47" s="36"/>
      <x:c r="E47" s="36"/>
      <x:c r="F47" s="36"/>
      <x:c r="G47" s="36"/>
      <x:c r="H47" s="41" t="str">
        <x:f>IF(ISNUMBER(B47),MAX(0,-B47),"")</x:f>
      </x:c>
      <x:c r="I47" s="41" t="str">
        <x:f>IF(COUNT(D47,F47,H47)=3,IF(AND(K47="FULL_BOUND",Profile!$B$13&lt;&gt;"",D47&gt;=0,F47&gt;=0,D47+F47&lt;=H47,OR(D47=0,E47&lt;&gt;""),OR(F47=0,G47&lt;&gt;"")),H47-D47-F47,""),"")</x:f>
      </x:c>
      <x:c r="J47" s="41" t="str">
        <x:f>IF(COUNT(C47,I47)=2,C47+I47,"")</x:f>
      </x:c>
      <x:c r="K47" s="41" t="str">
        <x:f>IF(A47="","",Profile!$B$12)</x:f>
      </x:c>
      <x:c r="L47" s="36"/>
      <x:c r="M47" s="41" t="str">
        <x:f>IF(A47="","",IF(L47="","OPENING EVIDENCE REQUIRED",IF(OR(L47=A47,COUNTIF($A$6:$A$55,L47)&lt;&gt;1,COUNTIF(Settlement!$A$6:$A$55,A47)&lt;&gt;1),"HOLD: PERIOD KEY",IF(AND(ISNUMBER(INDEX($J$6:$J$55,MATCH(L47,$A$6:$A$55,0))),ISNUMBER(INDEX(Settlement!$C$6:$C$55,MATCH(A47,Settlement!$A$6:$A$55,0)))),IF(ABS(INDEX($J$6:$J$55,MATCH(L47,$A$6:$A$55,0))-INDEX(Settlement!$C$6:$C$55,MATCH(A47,Settlement!$A$6:$A$55,0)))&lt;=Profile!$B$18,"MATCH","HOLD: OPENING DIFFERENCE"),"HOLD: MISSING BALANCE"))))</x:f>
      </x:c>
      <x:c r="N47" s="41" t="str">
        <x:f>IF(A47="","",IF(AND(COUNTIF($A$6:$A$55,A47)=1,ISNUMBER(J47),LEFT(M47,4)&lt;&gt;"HOLD"),"CALCULATED - REVIEW LEDGER","HOLD: PROFILE / POSTING"))</x:f>
      </x:c>
    </x:row>
    <x:row r="48" ht="23" customHeight="1">
      <x:c r="A48" s="38"/>
      <x:c r="B48" s="41" t="str">
        <x:f>IF(COUNTIF(Settlement!$A$6:$A$55,A48)=1,IF(ISNUMBER(INDEX(Settlement!$B$6:$B$55,MATCH(A48,Settlement!$A$6:$A$55,0))),INDEX(Settlement!$B$6:$B$55,MATCH(A48,Settlement!$A$6:$A$55,0)),""),"")</x:f>
      </x:c>
      <x:c r="C48" s="41" t="str">
        <x:f>IF(COUNTIF(Settlement!$A$6:$A$55,A48)=1,IF(ISNUMBER(INDEX(Settlement!$I$6:$I$55,MATCH(A48,Settlement!$A$6:$A$55,0))),INDEX(Settlement!$I$6:$I$55,MATCH(A48,Settlement!$A$6:$A$55,0)),""),"")</x:f>
      </x:c>
      <x:c r="D48" s="36"/>
      <x:c r="E48" s="36"/>
      <x:c r="F48" s="36"/>
      <x:c r="G48" s="36"/>
      <x:c r="H48" s="41" t="str">
        <x:f>IF(ISNUMBER(B48),MAX(0,-B48),"")</x:f>
      </x:c>
      <x:c r="I48" s="41" t="str">
        <x:f>IF(COUNT(D48,F48,H48)=3,IF(AND(K48="FULL_BOUND",Profile!$B$13&lt;&gt;"",D48&gt;=0,F48&gt;=0,D48+F48&lt;=H48,OR(D48=0,E48&lt;&gt;""),OR(F48=0,G48&lt;&gt;"")),H48-D48-F48,""),"")</x:f>
      </x:c>
      <x:c r="J48" s="41" t="str">
        <x:f>IF(COUNT(C48,I48)=2,C48+I48,"")</x:f>
      </x:c>
      <x:c r="K48" s="41" t="str">
        <x:f>IF(A48="","",Profile!$B$12)</x:f>
      </x:c>
      <x:c r="L48" s="36"/>
      <x:c r="M48" s="41" t="str">
        <x:f>IF(A48="","",IF(L48="","OPENING EVIDENCE REQUIRED",IF(OR(L48=A48,COUNTIF($A$6:$A$55,L48)&lt;&gt;1,COUNTIF(Settlement!$A$6:$A$55,A48)&lt;&gt;1),"HOLD: PERIOD KEY",IF(AND(ISNUMBER(INDEX($J$6:$J$55,MATCH(L48,$A$6:$A$55,0))),ISNUMBER(INDEX(Settlement!$C$6:$C$55,MATCH(A48,Settlement!$A$6:$A$55,0)))),IF(ABS(INDEX($J$6:$J$55,MATCH(L48,$A$6:$A$55,0))-INDEX(Settlement!$C$6:$C$55,MATCH(A48,Settlement!$A$6:$A$55,0)))&lt;=Profile!$B$18,"MATCH","HOLD: OPENING DIFFERENCE"),"HOLD: MISSING BALANCE"))))</x:f>
      </x:c>
      <x:c r="N48" s="41" t="str">
        <x:f>IF(A48="","",IF(AND(COUNTIF($A$6:$A$55,A48)=1,ISNUMBER(J48),LEFT(M48,4)&lt;&gt;"HOLD"),"CALCULATED - REVIEW LEDGER","HOLD: PROFILE / POSTING"))</x:f>
      </x:c>
    </x:row>
    <x:row r="49" ht="23" customHeight="1">
      <x:c r="A49" s="38"/>
      <x:c r="B49" s="41" t="str">
        <x:f>IF(COUNTIF(Settlement!$A$6:$A$55,A49)=1,IF(ISNUMBER(INDEX(Settlement!$B$6:$B$55,MATCH(A49,Settlement!$A$6:$A$55,0))),INDEX(Settlement!$B$6:$B$55,MATCH(A49,Settlement!$A$6:$A$55,0)),""),"")</x:f>
      </x:c>
      <x:c r="C49" s="41" t="str">
        <x:f>IF(COUNTIF(Settlement!$A$6:$A$55,A49)=1,IF(ISNUMBER(INDEX(Settlement!$I$6:$I$55,MATCH(A49,Settlement!$A$6:$A$55,0))),INDEX(Settlement!$I$6:$I$55,MATCH(A49,Settlement!$A$6:$A$55,0)),""),"")</x:f>
      </x:c>
      <x:c r="D49" s="36"/>
      <x:c r="E49" s="36"/>
      <x:c r="F49" s="36"/>
      <x:c r="G49" s="36"/>
      <x:c r="H49" s="41" t="str">
        <x:f>IF(ISNUMBER(B49),MAX(0,-B49),"")</x:f>
      </x:c>
      <x:c r="I49" s="41" t="str">
        <x:f>IF(COUNT(D49,F49,H49)=3,IF(AND(K49="FULL_BOUND",Profile!$B$13&lt;&gt;"",D49&gt;=0,F49&gt;=0,D49+F49&lt;=H49,OR(D49=0,E49&lt;&gt;""),OR(F49=0,G49&lt;&gt;"")),H49-D49-F49,""),"")</x:f>
      </x:c>
      <x:c r="J49" s="41" t="str">
        <x:f>IF(COUNT(C49,I49)=2,C49+I49,"")</x:f>
      </x:c>
      <x:c r="K49" s="41" t="str">
        <x:f>IF(A49="","",Profile!$B$12)</x:f>
      </x:c>
      <x:c r="L49" s="36"/>
      <x:c r="M49" s="41" t="str">
        <x:f>IF(A49="","",IF(L49="","OPENING EVIDENCE REQUIRED",IF(OR(L49=A49,COUNTIF($A$6:$A$55,L49)&lt;&gt;1,COUNTIF(Settlement!$A$6:$A$55,A49)&lt;&gt;1),"HOLD: PERIOD KEY",IF(AND(ISNUMBER(INDEX($J$6:$J$55,MATCH(L49,$A$6:$A$55,0))),ISNUMBER(INDEX(Settlement!$C$6:$C$55,MATCH(A49,Settlement!$A$6:$A$55,0)))),IF(ABS(INDEX($J$6:$J$55,MATCH(L49,$A$6:$A$55,0))-INDEX(Settlement!$C$6:$C$55,MATCH(A49,Settlement!$A$6:$A$55,0)))&lt;=Profile!$B$18,"MATCH","HOLD: OPENING DIFFERENCE"),"HOLD: MISSING BALANCE"))))</x:f>
      </x:c>
      <x:c r="N49" s="41" t="str">
        <x:f>IF(A49="","",IF(AND(COUNTIF($A$6:$A$55,A49)=1,ISNUMBER(J49),LEFT(M49,4)&lt;&gt;"HOLD"),"CALCULATED - REVIEW LEDGER","HOLD: PROFILE / POSTING"))</x:f>
      </x:c>
    </x:row>
    <x:row r="50" ht="23" customHeight="1">
      <x:c r="A50" s="38"/>
      <x:c r="B50" s="41" t="str">
        <x:f>IF(COUNTIF(Settlement!$A$6:$A$55,A50)=1,IF(ISNUMBER(INDEX(Settlement!$B$6:$B$55,MATCH(A50,Settlement!$A$6:$A$55,0))),INDEX(Settlement!$B$6:$B$55,MATCH(A50,Settlement!$A$6:$A$55,0)),""),"")</x:f>
      </x:c>
      <x:c r="C50" s="41" t="str">
        <x:f>IF(COUNTIF(Settlement!$A$6:$A$55,A50)=1,IF(ISNUMBER(INDEX(Settlement!$I$6:$I$55,MATCH(A50,Settlement!$A$6:$A$55,0))),INDEX(Settlement!$I$6:$I$55,MATCH(A50,Settlement!$A$6:$A$55,0)),""),"")</x:f>
      </x:c>
      <x:c r="D50" s="36"/>
      <x:c r="E50" s="36"/>
      <x:c r="F50" s="36"/>
      <x:c r="G50" s="36"/>
      <x:c r="H50" s="41" t="str">
        <x:f>IF(ISNUMBER(B50),MAX(0,-B50),"")</x:f>
      </x:c>
      <x:c r="I50" s="41" t="str">
        <x:f>IF(COUNT(D50,F50,H50)=3,IF(AND(K50="FULL_BOUND",Profile!$B$13&lt;&gt;"",D50&gt;=0,F50&gt;=0,D50+F50&lt;=H50,OR(D50=0,E50&lt;&gt;""),OR(F50=0,G50&lt;&gt;"")),H50-D50-F50,""),"")</x:f>
      </x:c>
      <x:c r="J50" s="41" t="str">
        <x:f>IF(COUNT(C50,I50)=2,C50+I50,"")</x:f>
      </x:c>
      <x:c r="K50" s="41" t="str">
        <x:f>IF(A50="","",Profile!$B$12)</x:f>
      </x:c>
      <x:c r="L50" s="36"/>
      <x:c r="M50" s="41" t="str">
        <x:f>IF(A50="","",IF(L50="","OPENING EVIDENCE REQUIRED",IF(OR(L50=A50,COUNTIF($A$6:$A$55,L50)&lt;&gt;1,COUNTIF(Settlement!$A$6:$A$55,A50)&lt;&gt;1),"HOLD: PERIOD KEY",IF(AND(ISNUMBER(INDEX($J$6:$J$55,MATCH(L50,$A$6:$A$55,0))),ISNUMBER(INDEX(Settlement!$C$6:$C$55,MATCH(A50,Settlement!$A$6:$A$55,0)))),IF(ABS(INDEX($J$6:$J$55,MATCH(L50,$A$6:$A$55,0))-INDEX(Settlement!$C$6:$C$55,MATCH(A50,Settlement!$A$6:$A$55,0)))&lt;=Profile!$B$18,"MATCH","HOLD: OPENING DIFFERENCE"),"HOLD: MISSING BALANCE"))))</x:f>
      </x:c>
      <x:c r="N50" s="41" t="str">
        <x:f>IF(A50="","",IF(AND(COUNTIF($A$6:$A$55,A50)=1,ISNUMBER(J50),LEFT(M50,4)&lt;&gt;"HOLD"),"CALCULATED - REVIEW LEDGER","HOLD: PROFILE / POSTING"))</x:f>
      </x:c>
    </x:row>
    <x:row r="51" ht="23" customHeight="1">
      <x:c r="A51" s="38"/>
      <x:c r="B51" s="41" t="str">
        <x:f>IF(COUNTIF(Settlement!$A$6:$A$55,A51)=1,IF(ISNUMBER(INDEX(Settlement!$B$6:$B$55,MATCH(A51,Settlement!$A$6:$A$55,0))),INDEX(Settlement!$B$6:$B$55,MATCH(A51,Settlement!$A$6:$A$55,0)),""),"")</x:f>
      </x:c>
      <x:c r="C51" s="41" t="str">
        <x:f>IF(COUNTIF(Settlement!$A$6:$A$55,A51)=1,IF(ISNUMBER(INDEX(Settlement!$I$6:$I$55,MATCH(A51,Settlement!$A$6:$A$55,0))),INDEX(Settlement!$I$6:$I$55,MATCH(A51,Settlement!$A$6:$A$55,0)),""),"")</x:f>
      </x:c>
      <x:c r="D51" s="36"/>
      <x:c r="E51" s="36"/>
      <x:c r="F51" s="36"/>
      <x:c r="G51" s="36"/>
      <x:c r="H51" s="41" t="str">
        <x:f>IF(ISNUMBER(B51),MAX(0,-B51),"")</x:f>
      </x:c>
      <x:c r="I51" s="41" t="str">
        <x:f>IF(COUNT(D51,F51,H51)=3,IF(AND(K51="FULL_BOUND",Profile!$B$13&lt;&gt;"",D51&gt;=0,F51&gt;=0,D51+F51&lt;=H51,OR(D51=0,E51&lt;&gt;""),OR(F51=0,G51&lt;&gt;"")),H51-D51-F51,""),"")</x:f>
      </x:c>
      <x:c r="J51" s="41" t="str">
        <x:f>IF(COUNT(C51,I51)=2,C51+I51,"")</x:f>
      </x:c>
      <x:c r="K51" s="41" t="str">
        <x:f>IF(A51="","",Profile!$B$12)</x:f>
      </x:c>
      <x:c r="L51" s="36"/>
      <x:c r="M51" s="41" t="str">
        <x:f>IF(A51="","",IF(L51="","OPENING EVIDENCE REQUIRED",IF(OR(L51=A51,COUNTIF($A$6:$A$55,L51)&lt;&gt;1,COUNTIF(Settlement!$A$6:$A$55,A51)&lt;&gt;1),"HOLD: PERIOD KEY",IF(AND(ISNUMBER(INDEX($J$6:$J$55,MATCH(L51,$A$6:$A$55,0))),ISNUMBER(INDEX(Settlement!$C$6:$C$55,MATCH(A51,Settlement!$A$6:$A$55,0)))),IF(ABS(INDEX($J$6:$J$55,MATCH(L51,$A$6:$A$55,0))-INDEX(Settlement!$C$6:$C$55,MATCH(A51,Settlement!$A$6:$A$55,0)))&lt;=Profile!$B$18,"MATCH","HOLD: OPENING DIFFERENCE"),"HOLD: MISSING BALANCE"))))</x:f>
      </x:c>
      <x:c r="N51" s="41" t="str">
        <x:f>IF(A51="","",IF(AND(COUNTIF($A$6:$A$55,A51)=1,ISNUMBER(J51),LEFT(M51,4)&lt;&gt;"HOLD"),"CALCULATED - REVIEW LEDGER","HOLD: PROFILE / POSTING"))</x:f>
      </x:c>
    </x:row>
    <x:row r="52" ht="23" customHeight="1">
      <x:c r="A52" s="38"/>
      <x:c r="B52" s="41" t="str">
        <x:f>IF(COUNTIF(Settlement!$A$6:$A$55,A52)=1,IF(ISNUMBER(INDEX(Settlement!$B$6:$B$55,MATCH(A52,Settlement!$A$6:$A$55,0))),INDEX(Settlement!$B$6:$B$55,MATCH(A52,Settlement!$A$6:$A$55,0)),""),"")</x:f>
      </x:c>
      <x:c r="C52" s="41" t="str">
        <x:f>IF(COUNTIF(Settlement!$A$6:$A$55,A52)=1,IF(ISNUMBER(INDEX(Settlement!$I$6:$I$55,MATCH(A52,Settlement!$A$6:$A$55,0))),INDEX(Settlement!$I$6:$I$55,MATCH(A52,Settlement!$A$6:$A$55,0)),""),"")</x:f>
      </x:c>
      <x:c r="D52" s="36"/>
      <x:c r="E52" s="36"/>
      <x:c r="F52" s="36"/>
      <x:c r="G52" s="36"/>
      <x:c r="H52" s="41" t="str">
        <x:f>IF(ISNUMBER(B52),MAX(0,-B52),"")</x:f>
      </x:c>
      <x:c r="I52" s="41" t="str">
        <x:f>IF(COUNT(D52,F52,H52)=3,IF(AND(K52="FULL_BOUND",Profile!$B$13&lt;&gt;"",D52&gt;=0,F52&gt;=0,D52+F52&lt;=H52,OR(D52=0,E52&lt;&gt;""),OR(F52=0,G52&lt;&gt;"")),H52-D52-F52,""),"")</x:f>
      </x:c>
      <x:c r="J52" s="41" t="str">
        <x:f>IF(COUNT(C52,I52)=2,C52+I52,"")</x:f>
      </x:c>
      <x:c r="K52" s="41" t="str">
        <x:f>IF(A52="","",Profile!$B$12)</x:f>
      </x:c>
      <x:c r="L52" s="36"/>
      <x:c r="M52" s="41" t="str">
        <x:f>IF(A52="","",IF(L52="","OPENING EVIDENCE REQUIRED",IF(OR(L52=A52,COUNTIF($A$6:$A$55,L52)&lt;&gt;1,COUNTIF(Settlement!$A$6:$A$55,A52)&lt;&gt;1),"HOLD: PERIOD KEY",IF(AND(ISNUMBER(INDEX($J$6:$J$55,MATCH(L52,$A$6:$A$55,0))),ISNUMBER(INDEX(Settlement!$C$6:$C$55,MATCH(A52,Settlement!$A$6:$A$55,0)))),IF(ABS(INDEX($J$6:$J$55,MATCH(L52,$A$6:$A$55,0))-INDEX(Settlement!$C$6:$C$55,MATCH(A52,Settlement!$A$6:$A$55,0)))&lt;=Profile!$B$18,"MATCH","HOLD: OPENING DIFFERENCE"),"HOLD: MISSING BALANCE"))))</x:f>
      </x:c>
      <x:c r="N52" s="41" t="str">
        <x:f>IF(A52="","",IF(AND(COUNTIF($A$6:$A$55,A52)=1,ISNUMBER(J52),LEFT(M52,4)&lt;&gt;"HOLD"),"CALCULATED - REVIEW LEDGER","HOLD: PROFILE / POSTING"))</x:f>
      </x:c>
    </x:row>
    <x:row r="53" ht="23" customHeight="1">
      <x:c r="A53" s="38"/>
      <x:c r="B53" s="41" t="str">
        <x:f>IF(COUNTIF(Settlement!$A$6:$A$55,A53)=1,IF(ISNUMBER(INDEX(Settlement!$B$6:$B$55,MATCH(A53,Settlement!$A$6:$A$55,0))),INDEX(Settlement!$B$6:$B$55,MATCH(A53,Settlement!$A$6:$A$55,0)),""),"")</x:f>
      </x:c>
      <x:c r="C53" s="41" t="str">
        <x:f>IF(COUNTIF(Settlement!$A$6:$A$55,A53)=1,IF(ISNUMBER(INDEX(Settlement!$I$6:$I$55,MATCH(A53,Settlement!$A$6:$A$55,0))),INDEX(Settlement!$I$6:$I$55,MATCH(A53,Settlement!$A$6:$A$55,0)),""),"")</x:f>
      </x:c>
      <x:c r="D53" s="36"/>
      <x:c r="E53" s="36"/>
      <x:c r="F53" s="36"/>
      <x:c r="G53" s="36"/>
      <x:c r="H53" s="41" t="str">
        <x:f>IF(ISNUMBER(B53),MAX(0,-B53),"")</x:f>
      </x:c>
      <x:c r="I53" s="41" t="str">
        <x:f>IF(COUNT(D53,F53,H53)=3,IF(AND(K53="FULL_BOUND",Profile!$B$13&lt;&gt;"",D53&gt;=0,F53&gt;=0,D53+F53&lt;=H53,OR(D53=0,E53&lt;&gt;""),OR(F53=0,G53&lt;&gt;"")),H53-D53-F53,""),"")</x:f>
      </x:c>
      <x:c r="J53" s="41" t="str">
        <x:f>IF(COUNT(C53,I53)=2,C53+I53,"")</x:f>
      </x:c>
      <x:c r="K53" s="41" t="str">
        <x:f>IF(A53="","",Profile!$B$12)</x:f>
      </x:c>
      <x:c r="L53" s="36"/>
      <x:c r="M53" s="41" t="str">
        <x:f>IF(A53="","",IF(L53="","OPENING EVIDENCE REQUIRED",IF(OR(L53=A53,COUNTIF($A$6:$A$55,L53)&lt;&gt;1,COUNTIF(Settlement!$A$6:$A$55,A53)&lt;&gt;1),"HOLD: PERIOD KEY",IF(AND(ISNUMBER(INDEX($J$6:$J$55,MATCH(L53,$A$6:$A$55,0))),ISNUMBER(INDEX(Settlement!$C$6:$C$55,MATCH(A53,Settlement!$A$6:$A$55,0)))),IF(ABS(INDEX($J$6:$J$55,MATCH(L53,$A$6:$A$55,0))-INDEX(Settlement!$C$6:$C$55,MATCH(A53,Settlement!$A$6:$A$55,0)))&lt;=Profile!$B$18,"MATCH","HOLD: OPENING DIFFERENCE"),"HOLD: MISSING BALANCE"))))</x:f>
      </x:c>
      <x:c r="N53" s="41" t="str">
        <x:f>IF(A53="","",IF(AND(COUNTIF($A$6:$A$55,A53)=1,ISNUMBER(J53),LEFT(M53,4)&lt;&gt;"HOLD"),"CALCULATED - REVIEW LEDGER","HOLD: PROFILE / POSTING"))</x:f>
      </x:c>
    </x:row>
    <x:row r="54" ht="23" customHeight="1">
      <x:c r="A54" s="38"/>
      <x:c r="B54" s="41" t="str">
        <x:f>IF(COUNTIF(Settlement!$A$6:$A$55,A54)=1,IF(ISNUMBER(INDEX(Settlement!$B$6:$B$55,MATCH(A54,Settlement!$A$6:$A$55,0))),INDEX(Settlement!$B$6:$B$55,MATCH(A54,Settlement!$A$6:$A$55,0)),""),"")</x:f>
      </x:c>
      <x:c r="C54" s="41" t="str">
        <x:f>IF(COUNTIF(Settlement!$A$6:$A$55,A54)=1,IF(ISNUMBER(INDEX(Settlement!$I$6:$I$55,MATCH(A54,Settlement!$A$6:$A$55,0))),INDEX(Settlement!$I$6:$I$55,MATCH(A54,Settlement!$A$6:$A$55,0)),""),"")</x:f>
      </x:c>
      <x:c r="D54" s="36"/>
      <x:c r="E54" s="36"/>
      <x:c r="F54" s="36"/>
      <x:c r="G54" s="36"/>
      <x:c r="H54" s="41" t="str">
        <x:f>IF(ISNUMBER(B54),MAX(0,-B54),"")</x:f>
      </x:c>
      <x:c r="I54" s="41" t="str">
        <x:f>IF(COUNT(D54,F54,H54)=3,IF(AND(K54="FULL_BOUND",Profile!$B$13&lt;&gt;"",D54&gt;=0,F54&gt;=0,D54+F54&lt;=H54,OR(D54=0,E54&lt;&gt;""),OR(F54=0,G54&lt;&gt;"")),H54-D54-F54,""),"")</x:f>
      </x:c>
      <x:c r="J54" s="41" t="str">
        <x:f>IF(COUNT(C54,I54)=2,C54+I54,"")</x:f>
      </x:c>
      <x:c r="K54" s="41" t="str">
        <x:f>IF(A54="","",Profile!$B$12)</x:f>
      </x:c>
      <x:c r="L54" s="36"/>
      <x:c r="M54" s="41" t="str">
        <x:f>IF(A54="","",IF(L54="","OPENING EVIDENCE REQUIRED",IF(OR(L54=A54,COUNTIF($A$6:$A$55,L54)&lt;&gt;1,COUNTIF(Settlement!$A$6:$A$55,A54)&lt;&gt;1),"HOLD: PERIOD KEY",IF(AND(ISNUMBER(INDEX($J$6:$J$55,MATCH(L54,$A$6:$A$55,0))),ISNUMBER(INDEX(Settlement!$C$6:$C$55,MATCH(A54,Settlement!$A$6:$A$55,0)))),IF(ABS(INDEX($J$6:$J$55,MATCH(L54,$A$6:$A$55,0))-INDEX(Settlement!$C$6:$C$55,MATCH(A54,Settlement!$A$6:$A$55,0)))&lt;=Profile!$B$18,"MATCH","HOLD: OPENING DIFFERENCE"),"HOLD: MISSING BALANCE"))))</x:f>
      </x:c>
      <x:c r="N54" s="41" t="str">
        <x:f>IF(A54="","",IF(AND(COUNTIF($A$6:$A$55,A54)=1,ISNUMBER(J54),LEFT(M54,4)&lt;&gt;"HOLD"),"CALCULATED - REVIEW LEDGER","HOLD: PROFILE / POSTING"))</x:f>
      </x:c>
    </x:row>
    <x:row r="55" ht="23" customHeight="1">
      <x:c r="A55" s="38"/>
      <x:c r="B55" s="41" t="str">
        <x:f>IF(COUNTIF(Settlement!$A$6:$A$55,A55)=1,IF(ISNUMBER(INDEX(Settlement!$B$6:$B$55,MATCH(A55,Settlement!$A$6:$A$55,0))),INDEX(Settlement!$B$6:$B$55,MATCH(A55,Settlement!$A$6:$A$55,0)),""),"")</x:f>
      </x:c>
      <x:c r="C55" s="41" t="str">
        <x:f>IF(COUNTIF(Settlement!$A$6:$A$55,A55)=1,IF(ISNUMBER(INDEX(Settlement!$I$6:$I$55,MATCH(A55,Settlement!$A$6:$A$55,0))),INDEX(Settlement!$I$6:$I$55,MATCH(A55,Settlement!$A$6:$A$55,0)),""),"")</x:f>
      </x:c>
      <x:c r="D55" s="36"/>
      <x:c r="E55" s="36"/>
      <x:c r="F55" s="36"/>
      <x:c r="G55" s="36"/>
      <x:c r="H55" s="41" t="str">
        <x:f>IF(ISNUMBER(B55),MAX(0,-B55),"")</x:f>
      </x:c>
      <x:c r="I55" s="41" t="str">
        <x:f>IF(COUNT(D55,F55,H55)=3,IF(AND(K55="FULL_BOUND",Profile!$B$13&lt;&gt;"",D55&gt;=0,F55&gt;=0,D55+F55&lt;=H55,OR(D55=0,E55&lt;&gt;""),OR(F55=0,G55&lt;&gt;"")),H55-D55-F55,""),"")</x:f>
      </x:c>
      <x:c r="J55" s="41" t="str">
        <x:f>IF(COUNT(C55,I55)=2,C55+I55,"")</x:f>
      </x:c>
      <x:c r="K55" s="41" t="str">
        <x:f>IF(A55="","",Profile!$B$12)</x:f>
      </x:c>
      <x:c r="L55" s="36"/>
      <x:c r="M55" s="41" t="str">
        <x:f>IF(A55="","",IF(L55="","OPENING EVIDENCE REQUIRED",IF(OR(L55=A55,COUNTIF($A$6:$A$55,L55)&lt;&gt;1,COUNTIF(Settlement!$A$6:$A$55,A55)&lt;&gt;1),"HOLD: PERIOD KEY",IF(AND(ISNUMBER(INDEX($J$6:$J$55,MATCH(L55,$A$6:$A$55,0))),ISNUMBER(INDEX(Settlement!$C$6:$C$55,MATCH(A55,Settlement!$A$6:$A$55,0)))),IF(ABS(INDEX($J$6:$J$55,MATCH(L55,$A$6:$A$55,0))-INDEX(Settlement!$C$6:$C$55,MATCH(A55,Settlement!$A$6:$A$55,0)))&lt;=Profile!$B$18,"MATCH","HOLD: OPENING DIFFERENCE"),"HOLD: MISSING BALANCE"))))</x:f>
      </x:c>
      <x:c r="N55" s="41" t="str">
        <x:f>IF(A55="","",IF(AND(COUNTIF($A$6:$A$55,A55)=1,ISNUMBER(J55),LEFT(M55,4)&lt;&gt;"HOLD"),"CALCULATED - REVIEW LEDGER","HOLD: PROFILE / POSTING"))</x:f>
      </x:c>
    </x:row>
  </x:sheetData>
  <x:mergeCells>
    <x:mergeCell ref="A1:N2"/>
    <x:mergeCell ref="A3:N4"/>
  </x:mergeCells>
  <x:conditionalFormatting sqref="N6:N55">
    <x:cfRule type="expression" dxfId="6" priority="1">
      <x:formula>LEFT(N6,4)="HOLD"</x:formula>
    </x:cfRule>
  </x:conditionalFormatting>
  <x:conditionalFormatting sqref="M6:M55">
    <x:cfRule type="expression" dxfId="7" priority="2">
      <x:formula>LEFT(M6,4)="HOLD"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5" hidden="0" customWidth="1"/>
  </x:cols>
  <x:sheetData>
    <x:row r="1" ht="23" customHeight="1">
      <x:c r="A1" s="21" t="str">
        <x:v>Candidate result and NVEU denomination</x:v>
      </x:c>
      <x:c r="B1" s="21"/>
      <x:c r="C1" s="21"/>
      <x:c r="D1" s="21"/>
      <x:c r="E1" s="21"/>
      <x:c r="F1" s="21"/>
      <x:c r="G1" s="21"/>
      <x:c r="H1" s="21"/>
      <x:c r="I1" s="21"/>
      <x:c r="J1" s="21"/>
    </x:row>
    <x:row r="2" ht="23" customHeight="1">
      <x:c r="A2" s="21"/>
      <x:c r="B2" s="21"/>
      <x:c r="C2" s="21"/>
      <x:c r="D2" s="21"/>
      <x:c r="E2" s="21"/>
      <x:c r="F2" s="21"/>
      <x:c r="G2" s="21"/>
      <x:c r="H2" s="21"/>
      <x:c r="I2" s="21"/>
      <x:c r="J2" s="21"/>
    </x:row>
    <x:row r="3" ht="23" customHeight="1">
      <x:c r="A3" s="25" t="str">
        <x:v>F-R04 is a dimensional conversion, not issuance. Whole-unit rounding is not imposed. A completed profile, compatible category, independent assessment and separate authorization remain necessary.</x:v>
      </x:c>
      <x:c r="B3" s="25"/>
      <x:c r="C3" s="25"/>
      <x:c r="D3" s="25"/>
      <x:c r="E3" s="25"/>
      <x:c r="F3" s="25"/>
      <x:c r="G3" s="25"/>
      <x:c r="H3" s="25"/>
      <x:c r="I3" s="25"/>
      <x:c r="J3" s="25"/>
    </x:row>
    <x:row r="4" ht="23" customHeight="1">
      <x:c r="A4" s="25"/>
      <x:c r="B4" s="25"/>
      <x:c r="C4" s="25"/>
      <x:c r="D4" s="25"/>
      <x:c r="E4" s="25"/>
      <x:c r="F4" s="25"/>
      <x:c r="G4" s="25"/>
      <x:c r="H4" s="25"/>
      <x:c r="I4" s="25"/>
      <x:c r="J4" s="25"/>
    </x:row>
    <x:row r="5" ht="80" customHeight="1">
      <x:c r="A5" s="29" t="str">
        <x:v>Period key</x:v>
      </x:c>
      <x:c r="B5" s="29" t="str">
        <x:v>Reported net
Q_hat,t^EP
[t CO2e]</x:v>
      </x:c>
      <x:c r="C5" s="29" t="str">
        <x:v>Q_low
Q_low,t^EP
[t CO2e]</x:v>
      </x:c>
      <x:c r="D5" s="29" t="str">
        <x:v>Liability carried
D_t+1
[t CO2e]</x:v>
      </x:c>
      <x:c r="E5" s="29" t="str">
        <x:v>New reserve candidate
B_t
[t CO2e]</x:v>
      </x:c>
      <x:c r="F5" s="29" t="str">
        <x:v>Available mass candidate
J_cand,t
[t CO2e]</x:v>
      </x:c>
      <x:c r="G5" s="29" t="str">
        <x:v>Denomination d_u
d_u
[t CO2e/NVEU]</x:v>
      </x:c>
      <x:c r="H5" s="29" t="str">
        <x:v>Candidate NVEU count
n_candidate,t
[NVEU]</x:v>
      </x:c>
      <x:c r="I5" s="29" t="str">
        <x:v>Decision / review reference</x:v>
      </x:c>
      <x:c r="J5" s="29" t="str">
        <x:v>Status</x:v>
      </x:c>
      <x:c r="K5"/>
      <x:c r="L5"/>
      <x:c r="M5"/>
      <x:c r="N5"/>
      <x:c r="O5"/>
      <x:c r="P5"/>
    </x:row>
    <x:row r="6" ht="23" customHeight="1">
      <x:c r="A6" s="38"/>
      <x:c r="B6" s="41" t="str">
        <x:f>IF(COUNTIF(ExPost!$A$6:$A$55,A6)=1,IF(ISNUMBER(INDEX(ExPost!$I$6:$I$55,MATCH(A6,ExPost!$A$6:$A$55,0))),INDEX(ExPost!$I$6:$I$55,MATCH(A6,ExPost!$A$6:$A$55,0)),""),"")</x:f>
      </x:c>
      <x:c r="C6" s="41" t="str">
        <x:f>IF(COUNTIF(ExPost!$A$6:$A$55,A6)=1,IF(ISNUMBER(INDEX(ExPost!$L$6:$L$55,MATCH(A6,ExPost!$A$6:$A$55,0))),INDEX(ExPost!$L$6:$L$55,MATCH(A6,ExPost!$A$6:$A$55,0)),""),"")</x:f>
      </x:c>
      <x:c r="D6" s="41" t="str">
        <x:f>IF(COUNTIF(CarryForward!$A$6:$A$55,A6)=1,IF(ISNUMBER(INDEX(CarryForward!$J$6:$J$55,MATCH(A6,CarryForward!$A$6:$A$55,0))),INDEX(CarryForward!$J$6:$J$55,MATCH(A6,CarryForward!$A$6:$A$55,0)),""),"")</x:f>
      </x:c>
      <x:c r="E6" s="41" t="str">
        <x:f>IF(COUNTIF(Settlement!$A$6:$A$55,A6)=1,IF(ISNUMBER(INDEX(Settlement!$J$6:$J$55,MATCH(A6,Settlement!$A$6:$A$55,0))),INDEX(Settlement!$J$6:$J$55,MATCH(A6,Settlement!$A$6:$A$55,0)),""),"")</x:f>
      </x:c>
      <x:c r="F6" s="41" t="str">
        <x:f>IF(COUNTIF(Settlement!$A$6:$A$55,A6)=1,IF(ISNUMBER(INDEX(Settlement!$L$6:$L$55,MATCH(A6,Settlement!$A$6:$A$55,0))),INDEX(Settlement!$L$6:$L$55,MATCH(A6,Settlement!$A$6:$A$55,0)),""),"")</x:f>
      </x:c>
      <x:c r="G6" s="41" t="str">
        <x:f>IF(A6="","",IF(ISNUMBER(Profile!$B$8),IF(Profile!$B$8&gt;0,Profile!$B$8,""),""))</x:f>
      </x:c>
      <x:c r="H6" s="41" t="str">
        <x:f>IF(COUNT(F6:G6)=2,IF(AND(COUNTIF(ExPost!$A$6:$A$55,A6)=1,COUNTIF(Settlement!$A$6:$A$55,A6)=1,COUNTIF(CarryForward!$A$6:$A$55,A6)=1,COUNTIFS(ExPost!$A$6:$A$55,A6,ExPost!$P$6:$P$55,"CALCULATED - EP")=1,COUNTIFS(Settlement!$A$6:$A$55,A6,Settlement!$M$6:$M$55,"CANDIDATE - NO AUTHORIZATION")=1,COUNTIFS(CarryForward!$A$6:$A$55,A6,CarryForward!$N$6:$N$55,"CALCULATED - REVIEW LEDGER")=1,F6&gt;=0,G6&gt;0,Profile!$B$7&lt;&gt;"",Profile!$B$10&lt;&gt;""),F6/G6,""),"")</x:f>
      </x:c>
      <x:c r="I6" s="36"/>
      <x:c r="J6" s="41" t="str">
        <x:f>IF(A6="","","NO AUTHORIZATION BY WORKBOOK")</x:f>
      </x:c>
    </x:row>
    <x:row r="7" ht="23" customHeight="1">
      <x:c r="A7" s="38"/>
      <x:c r="B7" s="41" t="str">
        <x:f>IF(COUNTIF(ExPost!$A$6:$A$55,A7)=1,IF(ISNUMBER(INDEX(ExPost!$I$6:$I$55,MATCH(A7,ExPost!$A$6:$A$55,0))),INDEX(ExPost!$I$6:$I$55,MATCH(A7,ExPost!$A$6:$A$55,0)),""),"")</x:f>
      </x:c>
      <x:c r="C7" s="41" t="str">
        <x:f>IF(COUNTIF(ExPost!$A$6:$A$55,A7)=1,IF(ISNUMBER(INDEX(ExPost!$L$6:$L$55,MATCH(A7,ExPost!$A$6:$A$55,0))),INDEX(ExPost!$L$6:$L$55,MATCH(A7,ExPost!$A$6:$A$55,0)),""),"")</x:f>
      </x:c>
      <x:c r="D7" s="41" t="str">
        <x:f>IF(COUNTIF(CarryForward!$A$6:$A$55,A7)=1,IF(ISNUMBER(INDEX(CarryForward!$J$6:$J$55,MATCH(A7,CarryForward!$A$6:$A$55,0))),INDEX(CarryForward!$J$6:$J$55,MATCH(A7,CarryForward!$A$6:$A$55,0)),""),"")</x:f>
      </x:c>
      <x:c r="E7" s="41" t="str">
        <x:f>IF(COUNTIF(Settlement!$A$6:$A$55,A7)=1,IF(ISNUMBER(INDEX(Settlement!$J$6:$J$55,MATCH(A7,Settlement!$A$6:$A$55,0))),INDEX(Settlement!$J$6:$J$55,MATCH(A7,Settlement!$A$6:$A$55,0)),""),"")</x:f>
      </x:c>
      <x:c r="F7" s="41" t="str">
        <x:f>IF(COUNTIF(Settlement!$A$6:$A$55,A7)=1,IF(ISNUMBER(INDEX(Settlement!$L$6:$L$55,MATCH(A7,Settlement!$A$6:$A$55,0))),INDEX(Settlement!$L$6:$L$55,MATCH(A7,Settlement!$A$6:$A$55,0)),""),"")</x:f>
      </x:c>
      <x:c r="G7" s="41" t="str">
        <x:f>IF(A7="","",IF(ISNUMBER(Profile!$B$8),IF(Profile!$B$8&gt;0,Profile!$B$8,""),""))</x:f>
      </x:c>
      <x:c r="H7" s="41" t="str">
        <x:f>IF(COUNT(F7:G7)=2,IF(AND(COUNTIF(ExPost!$A$6:$A$55,A7)=1,COUNTIF(Settlement!$A$6:$A$55,A7)=1,COUNTIF(CarryForward!$A$6:$A$55,A7)=1,COUNTIFS(ExPost!$A$6:$A$55,A7,ExPost!$P$6:$P$55,"CALCULATED - EP")=1,COUNTIFS(Settlement!$A$6:$A$55,A7,Settlement!$M$6:$M$55,"CANDIDATE - NO AUTHORIZATION")=1,COUNTIFS(CarryForward!$A$6:$A$55,A7,CarryForward!$N$6:$N$55,"CALCULATED - REVIEW LEDGER")=1,F7&gt;=0,G7&gt;0,Profile!$B$7&lt;&gt;"",Profile!$B$10&lt;&gt;""),F7/G7,""),"")</x:f>
      </x:c>
      <x:c r="I7" s="36"/>
      <x:c r="J7" s="41" t="str">
        <x:f>IF(A7="","","NO AUTHORIZATION BY WORKBOOK")</x:f>
      </x:c>
    </x:row>
    <x:row r="8" ht="23" customHeight="1">
      <x:c r="A8" s="38"/>
      <x:c r="B8" s="41" t="str">
        <x:f>IF(COUNTIF(ExPost!$A$6:$A$55,A8)=1,IF(ISNUMBER(INDEX(ExPost!$I$6:$I$55,MATCH(A8,ExPost!$A$6:$A$55,0))),INDEX(ExPost!$I$6:$I$55,MATCH(A8,ExPost!$A$6:$A$55,0)),""),"")</x:f>
      </x:c>
      <x:c r="C8" s="41" t="str">
        <x:f>IF(COUNTIF(ExPost!$A$6:$A$55,A8)=1,IF(ISNUMBER(INDEX(ExPost!$L$6:$L$55,MATCH(A8,ExPost!$A$6:$A$55,0))),INDEX(ExPost!$L$6:$L$55,MATCH(A8,ExPost!$A$6:$A$55,0)),""),"")</x:f>
      </x:c>
      <x:c r="D8" s="41" t="str">
        <x:f>IF(COUNTIF(CarryForward!$A$6:$A$55,A8)=1,IF(ISNUMBER(INDEX(CarryForward!$J$6:$J$55,MATCH(A8,CarryForward!$A$6:$A$55,0))),INDEX(CarryForward!$J$6:$J$55,MATCH(A8,CarryForward!$A$6:$A$55,0)),""),"")</x:f>
      </x:c>
      <x:c r="E8" s="41" t="str">
        <x:f>IF(COUNTIF(Settlement!$A$6:$A$55,A8)=1,IF(ISNUMBER(INDEX(Settlement!$J$6:$J$55,MATCH(A8,Settlement!$A$6:$A$55,0))),INDEX(Settlement!$J$6:$J$55,MATCH(A8,Settlement!$A$6:$A$55,0)),""),"")</x:f>
      </x:c>
      <x:c r="F8" s="41" t="str">
        <x:f>IF(COUNTIF(Settlement!$A$6:$A$55,A8)=1,IF(ISNUMBER(INDEX(Settlement!$L$6:$L$55,MATCH(A8,Settlement!$A$6:$A$55,0))),INDEX(Settlement!$L$6:$L$55,MATCH(A8,Settlement!$A$6:$A$55,0)),""),"")</x:f>
      </x:c>
      <x:c r="G8" s="41" t="str">
        <x:f>IF(A8="","",IF(ISNUMBER(Profile!$B$8),IF(Profile!$B$8&gt;0,Profile!$B$8,""),""))</x:f>
      </x:c>
      <x:c r="H8" s="41" t="str">
        <x:f>IF(COUNT(F8:G8)=2,IF(AND(COUNTIF(ExPost!$A$6:$A$55,A8)=1,COUNTIF(Settlement!$A$6:$A$55,A8)=1,COUNTIF(CarryForward!$A$6:$A$55,A8)=1,COUNTIFS(ExPost!$A$6:$A$55,A8,ExPost!$P$6:$P$55,"CALCULATED - EP")=1,COUNTIFS(Settlement!$A$6:$A$55,A8,Settlement!$M$6:$M$55,"CANDIDATE - NO AUTHORIZATION")=1,COUNTIFS(CarryForward!$A$6:$A$55,A8,CarryForward!$N$6:$N$55,"CALCULATED - REVIEW LEDGER")=1,F8&gt;=0,G8&gt;0,Profile!$B$7&lt;&gt;"",Profile!$B$10&lt;&gt;""),F8/G8,""),"")</x:f>
      </x:c>
      <x:c r="I8" s="36"/>
      <x:c r="J8" s="41" t="str">
        <x:f>IF(A8="","","NO AUTHORIZATION BY WORKBOOK")</x:f>
      </x:c>
    </x:row>
    <x:row r="9" ht="23" customHeight="1">
      <x:c r="A9" s="38"/>
      <x:c r="B9" s="41" t="str">
        <x:f>IF(COUNTIF(ExPost!$A$6:$A$55,A9)=1,IF(ISNUMBER(INDEX(ExPost!$I$6:$I$55,MATCH(A9,ExPost!$A$6:$A$55,0))),INDEX(ExPost!$I$6:$I$55,MATCH(A9,ExPost!$A$6:$A$55,0)),""),"")</x:f>
      </x:c>
      <x:c r="C9" s="41" t="str">
        <x:f>IF(COUNTIF(ExPost!$A$6:$A$55,A9)=1,IF(ISNUMBER(INDEX(ExPost!$L$6:$L$55,MATCH(A9,ExPost!$A$6:$A$55,0))),INDEX(ExPost!$L$6:$L$55,MATCH(A9,ExPost!$A$6:$A$55,0)),""),"")</x:f>
      </x:c>
      <x:c r="D9" s="41" t="str">
        <x:f>IF(COUNTIF(CarryForward!$A$6:$A$55,A9)=1,IF(ISNUMBER(INDEX(CarryForward!$J$6:$J$55,MATCH(A9,CarryForward!$A$6:$A$55,0))),INDEX(CarryForward!$J$6:$J$55,MATCH(A9,CarryForward!$A$6:$A$55,0)),""),"")</x:f>
      </x:c>
      <x:c r="E9" s="41" t="str">
        <x:f>IF(COUNTIF(Settlement!$A$6:$A$55,A9)=1,IF(ISNUMBER(INDEX(Settlement!$J$6:$J$55,MATCH(A9,Settlement!$A$6:$A$55,0))),INDEX(Settlement!$J$6:$J$55,MATCH(A9,Settlement!$A$6:$A$55,0)),""),"")</x:f>
      </x:c>
      <x:c r="F9" s="41" t="str">
        <x:f>IF(COUNTIF(Settlement!$A$6:$A$55,A9)=1,IF(ISNUMBER(INDEX(Settlement!$L$6:$L$55,MATCH(A9,Settlement!$A$6:$A$55,0))),INDEX(Settlement!$L$6:$L$55,MATCH(A9,Settlement!$A$6:$A$55,0)),""),"")</x:f>
      </x:c>
      <x:c r="G9" s="41" t="str">
        <x:f>IF(A9="","",IF(ISNUMBER(Profile!$B$8),IF(Profile!$B$8&gt;0,Profile!$B$8,""),""))</x:f>
      </x:c>
      <x:c r="H9" s="41" t="str">
        <x:f>IF(COUNT(F9:G9)=2,IF(AND(COUNTIF(ExPost!$A$6:$A$55,A9)=1,COUNTIF(Settlement!$A$6:$A$55,A9)=1,COUNTIF(CarryForward!$A$6:$A$55,A9)=1,COUNTIFS(ExPost!$A$6:$A$55,A9,ExPost!$P$6:$P$55,"CALCULATED - EP")=1,COUNTIFS(Settlement!$A$6:$A$55,A9,Settlement!$M$6:$M$55,"CANDIDATE - NO AUTHORIZATION")=1,COUNTIFS(CarryForward!$A$6:$A$55,A9,CarryForward!$N$6:$N$55,"CALCULATED - REVIEW LEDGER")=1,F9&gt;=0,G9&gt;0,Profile!$B$7&lt;&gt;"",Profile!$B$10&lt;&gt;""),F9/G9,""),"")</x:f>
      </x:c>
      <x:c r="I9" s="36"/>
      <x:c r="J9" s="41" t="str">
        <x:f>IF(A9="","","NO AUTHORIZATION BY WORKBOOK")</x:f>
      </x:c>
    </x:row>
    <x:row r="10" ht="23" customHeight="1">
      <x:c r="A10" s="38"/>
      <x:c r="B10" s="41" t="str">
        <x:f>IF(COUNTIF(ExPost!$A$6:$A$55,A10)=1,IF(ISNUMBER(INDEX(ExPost!$I$6:$I$55,MATCH(A10,ExPost!$A$6:$A$55,0))),INDEX(ExPost!$I$6:$I$55,MATCH(A10,ExPost!$A$6:$A$55,0)),""),"")</x:f>
      </x:c>
      <x:c r="C10" s="41" t="str">
        <x:f>IF(COUNTIF(ExPost!$A$6:$A$55,A10)=1,IF(ISNUMBER(INDEX(ExPost!$L$6:$L$55,MATCH(A10,ExPost!$A$6:$A$55,0))),INDEX(ExPost!$L$6:$L$55,MATCH(A10,ExPost!$A$6:$A$55,0)),""),"")</x:f>
      </x:c>
      <x:c r="D10" s="41" t="str">
        <x:f>IF(COUNTIF(CarryForward!$A$6:$A$55,A10)=1,IF(ISNUMBER(INDEX(CarryForward!$J$6:$J$55,MATCH(A10,CarryForward!$A$6:$A$55,0))),INDEX(CarryForward!$J$6:$J$55,MATCH(A10,CarryForward!$A$6:$A$55,0)),""),"")</x:f>
      </x:c>
      <x:c r="E10" s="41" t="str">
        <x:f>IF(COUNTIF(Settlement!$A$6:$A$55,A10)=1,IF(ISNUMBER(INDEX(Settlement!$J$6:$J$55,MATCH(A10,Settlement!$A$6:$A$55,0))),INDEX(Settlement!$J$6:$J$55,MATCH(A10,Settlement!$A$6:$A$55,0)),""),"")</x:f>
      </x:c>
      <x:c r="F10" s="41" t="str">
        <x:f>IF(COUNTIF(Settlement!$A$6:$A$55,A10)=1,IF(ISNUMBER(INDEX(Settlement!$L$6:$L$55,MATCH(A10,Settlement!$A$6:$A$55,0))),INDEX(Settlement!$L$6:$L$55,MATCH(A10,Settlement!$A$6:$A$55,0)),""),"")</x:f>
      </x:c>
      <x:c r="G10" s="41" t="str">
        <x:f>IF(A10="","",IF(ISNUMBER(Profile!$B$8),IF(Profile!$B$8&gt;0,Profile!$B$8,""),""))</x:f>
      </x:c>
      <x:c r="H10" s="41" t="str">
        <x:f>IF(COUNT(F10:G10)=2,IF(AND(COUNTIF(ExPost!$A$6:$A$55,A10)=1,COUNTIF(Settlement!$A$6:$A$55,A10)=1,COUNTIF(CarryForward!$A$6:$A$55,A10)=1,COUNTIFS(ExPost!$A$6:$A$55,A10,ExPost!$P$6:$P$55,"CALCULATED - EP")=1,COUNTIFS(Settlement!$A$6:$A$55,A10,Settlement!$M$6:$M$55,"CANDIDATE - NO AUTHORIZATION")=1,COUNTIFS(CarryForward!$A$6:$A$55,A10,CarryForward!$N$6:$N$55,"CALCULATED - REVIEW LEDGER")=1,F10&gt;=0,G10&gt;0,Profile!$B$7&lt;&gt;"",Profile!$B$10&lt;&gt;""),F10/G10,""),"")</x:f>
      </x:c>
      <x:c r="I10" s="36"/>
      <x:c r="J10" s="41" t="str">
        <x:f>IF(A10="","","NO AUTHORIZATION BY WORKBOOK")</x:f>
      </x:c>
    </x:row>
    <x:row r="11" ht="23" customHeight="1">
      <x:c r="A11" s="38"/>
      <x:c r="B11" s="41" t="str">
        <x:f>IF(COUNTIF(ExPost!$A$6:$A$55,A11)=1,IF(ISNUMBER(INDEX(ExPost!$I$6:$I$55,MATCH(A11,ExPost!$A$6:$A$55,0))),INDEX(ExPost!$I$6:$I$55,MATCH(A11,ExPost!$A$6:$A$55,0)),""),"")</x:f>
      </x:c>
      <x:c r="C11" s="41" t="str">
        <x:f>IF(COUNTIF(ExPost!$A$6:$A$55,A11)=1,IF(ISNUMBER(INDEX(ExPost!$L$6:$L$55,MATCH(A11,ExPost!$A$6:$A$55,0))),INDEX(ExPost!$L$6:$L$55,MATCH(A11,ExPost!$A$6:$A$55,0)),""),"")</x:f>
      </x:c>
      <x:c r="D11" s="41" t="str">
        <x:f>IF(COUNTIF(CarryForward!$A$6:$A$55,A11)=1,IF(ISNUMBER(INDEX(CarryForward!$J$6:$J$55,MATCH(A11,CarryForward!$A$6:$A$55,0))),INDEX(CarryForward!$J$6:$J$55,MATCH(A11,CarryForward!$A$6:$A$55,0)),""),"")</x:f>
      </x:c>
      <x:c r="E11" s="41" t="str">
        <x:f>IF(COUNTIF(Settlement!$A$6:$A$55,A11)=1,IF(ISNUMBER(INDEX(Settlement!$J$6:$J$55,MATCH(A11,Settlement!$A$6:$A$55,0))),INDEX(Settlement!$J$6:$J$55,MATCH(A11,Settlement!$A$6:$A$55,0)),""),"")</x:f>
      </x:c>
      <x:c r="F11" s="41" t="str">
        <x:f>IF(COUNTIF(Settlement!$A$6:$A$55,A11)=1,IF(ISNUMBER(INDEX(Settlement!$L$6:$L$55,MATCH(A11,Settlement!$A$6:$A$55,0))),INDEX(Settlement!$L$6:$L$55,MATCH(A11,Settlement!$A$6:$A$55,0)),""),"")</x:f>
      </x:c>
      <x:c r="G11" s="41" t="str">
        <x:f>IF(A11="","",IF(ISNUMBER(Profile!$B$8),IF(Profile!$B$8&gt;0,Profile!$B$8,""),""))</x:f>
      </x:c>
      <x:c r="H11" s="41" t="str">
        <x:f>IF(COUNT(F11:G11)=2,IF(AND(COUNTIF(ExPost!$A$6:$A$55,A11)=1,COUNTIF(Settlement!$A$6:$A$55,A11)=1,COUNTIF(CarryForward!$A$6:$A$55,A11)=1,COUNTIFS(ExPost!$A$6:$A$55,A11,ExPost!$P$6:$P$55,"CALCULATED - EP")=1,COUNTIFS(Settlement!$A$6:$A$55,A11,Settlement!$M$6:$M$55,"CANDIDATE - NO AUTHORIZATION")=1,COUNTIFS(CarryForward!$A$6:$A$55,A11,CarryForward!$N$6:$N$55,"CALCULATED - REVIEW LEDGER")=1,F11&gt;=0,G11&gt;0,Profile!$B$7&lt;&gt;"",Profile!$B$10&lt;&gt;""),F11/G11,""),"")</x:f>
      </x:c>
      <x:c r="I11" s="36"/>
      <x:c r="J11" s="41" t="str">
        <x:f>IF(A11="","","NO AUTHORIZATION BY WORKBOOK")</x:f>
      </x:c>
    </x:row>
    <x:row r="12" ht="23" customHeight="1">
      <x:c r="A12" s="38"/>
      <x:c r="B12" s="41" t="str">
        <x:f>IF(COUNTIF(ExPost!$A$6:$A$55,A12)=1,IF(ISNUMBER(INDEX(ExPost!$I$6:$I$55,MATCH(A12,ExPost!$A$6:$A$55,0))),INDEX(ExPost!$I$6:$I$55,MATCH(A12,ExPost!$A$6:$A$55,0)),""),"")</x:f>
      </x:c>
      <x:c r="C12" s="41" t="str">
        <x:f>IF(COUNTIF(ExPost!$A$6:$A$55,A12)=1,IF(ISNUMBER(INDEX(ExPost!$L$6:$L$55,MATCH(A12,ExPost!$A$6:$A$55,0))),INDEX(ExPost!$L$6:$L$55,MATCH(A12,ExPost!$A$6:$A$55,0)),""),"")</x:f>
      </x:c>
      <x:c r="D12" s="41" t="str">
        <x:f>IF(COUNTIF(CarryForward!$A$6:$A$55,A12)=1,IF(ISNUMBER(INDEX(CarryForward!$J$6:$J$55,MATCH(A12,CarryForward!$A$6:$A$55,0))),INDEX(CarryForward!$J$6:$J$55,MATCH(A12,CarryForward!$A$6:$A$55,0)),""),"")</x:f>
      </x:c>
      <x:c r="E12" s="41" t="str">
        <x:f>IF(COUNTIF(Settlement!$A$6:$A$55,A12)=1,IF(ISNUMBER(INDEX(Settlement!$J$6:$J$55,MATCH(A12,Settlement!$A$6:$A$55,0))),INDEX(Settlement!$J$6:$J$55,MATCH(A12,Settlement!$A$6:$A$55,0)),""),"")</x:f>
      </x:c>
      <x:c r="F12" s="41" t="str">
        <x:f>IF(COUNTIF(Settlement!$A$6:$A$55,A12)=1,IF(ISNUMBER(INDEX(Settlement!$L$6:$L$55,MATCH(A12,Settlement!$A$6:$A$55,0))),INDEX(Settlement!$L$6:$L$55,MATCH(A12,Settlement!$A$6:$A$55,0)),""),"")</x:f>
      </x:c>
      <x:c r="G12" s="41" t="str">
        <x:f>IF(A12="","",IF(ISNUMBER(Profile!$B$8),IF(Profile!$B$8&gt;0,Profile!$B$8,""),""))</x:f>
      </x:c>
      <x:c r="H12" s="41" t="str">
        <x:f>IF(COUNT(F12:G12)=2,IF(AND(COUNTIF(ExPost!$A$6:$A$55,A12)=1,COUNTIF(Settlement!$A$6:$A$55,A12)=1,COUNTIF(CarryForward!$A$6:$A$55,A12)=1,COUNTIFS(ExPost!$A$6:$A$55,A12,ExPost!$P$6:$P$55,"CALCULATED - EP")=1,COUNTIFS(Settlement!$A$6:$A$55,A12,Settlement!$M$6:$M$55,"CANDIDATE - NO AUTHORIZATION")=1,COUNTIFS(CarryForward!$A$6:$A$55,A12,CarryForward!$N$6:$N$55,"CALCULATED - REVIEW LEDGER")=1,F12&gt;=0,G12&gt;0,Profile!$B$7&lt;&gt;"",Profile!$B$10&lt;&gt;""),F12/G12,""),"")</x:f>
      </x:c>
      <x:c r="I12" s="36"/>
      <x:c r="J12" s="41" t="str">
        <x:f>IF(A12="","","NO AUTHORIZATION BY WORKBOOK")</x:f>
      </x:c>
    </x:row>
    <x:row r="13" ht="23" customHeight="1">
      <x:c r="A13" s="38"/>
      <x:c r="B13" s="41" t="str">
        <x:f>IF(COUNTIF(ExPost!$A$6:$A$55,A13)=1,IF(ISNUMBER(INDEX(ExPost!$I$6:$I$55,MATCH(A13,ExPost!$A$6:$A$55,0))),INDEX(ExPost!$I$6:$I$55,MATCH(A13,ExPost!$A$6:$A$55,0)),""),"")</x:f>
      </x:c>
      <x:c r="C13" s="41" t="str">
        <x:f>IF(COUNTIF(ExPost!$A$6:$A$55,A13)=1,IF(ISNUMBER(INDEX(ExPost!$L$6:$L$55,MATCH(A13,ExPost!$A$6:$A$55,0))),INDEX(ExPost!$L$6:$L$55,MATCH(A13,ExPost!$A$6:$A$55,0)),""),"")</x:f>
      </x:c>
      <x:c r="D13" s="41" t="str">
        <x:f>IF(COUNTIF(CarryForward!$A$6:$A$55,A13)=1,IF(ISNUMBER(INDEX(CarryForward!$J$6:$J$55,MATCH(A13,CarryForward!$A$6:$A$55,0))),INDEX(CarryForward!$J$6:$J$55,MATCH(A13,CarryForward!$A$6:$A$55,0)),""),"")</x:f>
      </x:c>
      <x:c r="E13" s="41" t="str">
        <x:f>IF(COUNTIF(Settlement!$A$6:$A$55,A13)=1,IF(ISNUMBER(INDEX(Settlement!$J$6:$J$55,MATCH(A13,Settlement!$A$6:$A$55,0))),INDEX(Settlement!$J$6:$J$55,MATCH(A13,Settlement!$A$6:$A$55,0)),""),"")</x:f>
      </x:c>
      <x:c r="F13" s="41" t="str">
        <x:f>IF(COUNTIF(Settlement!$A$6:$A$55,A13)=1,IF(ISNUMBER(INDEX(Settlement!$L$6:$L$55,MATCH(A13,Settlement!$A$6:$A$55,0))),INDEX(Settlement!$L$6:$L$55,MATCH(A13,Settlement!$A$6:$A$55,0)),""),"")</x:f>
      </x:c>
      <x:c r="G13" s="41" t="str">
        <x:f>IF(A13="","",IF(ISNUMBER(Profile!$B$8),IF(Profile!$B$8&gt;0,Profile!$B$8,""),""))</x:f>
      </x:c>
      <x:c r="H13" s="41" t="str">
        <x:f>IF(COUNT(F13:G13)=2,IF(AND(COUNTIF(ExPost!$A$6:$A$55,A13)=1,COUNTIF(Settlement!$A$6:$A$55,A13)=1,COUNTIF(CarryForward!$A$6:$A$55,A13)=1,COUNTIFS(ExPost!$A$6:$A$55,A13,ExPost!$P$6:$P$55,"CALCULATED - EP")=1,COUNTIFS(Settlement!$A$6:$A$55,A13,Settlement!$M$6:$M$55,"CANDIDATE - NO AUTHORIZATION")=1,COUNTIFS(CarryForward!$A$6:$A$55,A13,CarryForward!$N$6:$N$55,"CALCULATED - REVIEW LEDGER")=1,F13&gt;=0,G13&gt;0,Profile!$B$7&lt;&gt;"",Profile!$B$10&lt;&gt;""),F13/G13,""),"")</x:f>
      </x:c>
      <x:c r="I13" s="36"/>
      <x:c r="J13" s="41" t="str">
        <x:f>IF(A13="","","NO AUTHORIZATION BY WORKBOOK")</x:f>
      </x:c>
    </x:row>
    <x:row r="14" ht="23" customHeight="1">
      <x:c r="A14" s="38"/>
      <x:c r="B14" s="41" t="str">
        <x:f>IF(COUNTIF(ExPost!$A$6:$A$55,A14)=1,IF(ISNUMBER(INDEX(ExPost!$I$6:$I$55,MATCH(A14,ExPost!$A$6:$A$55,0))),INDEX(ExPost!$I$6:$I$55,MATCH(A14,ExPost!$A$6:$A$55,0)),""),"")</x:f>
      </x:c>
      <x:c r="C14" s="41" t="str">
        <x:f>IF(COUNTIF(ExPost!$A$6:$A$55,A14)=1,IF(ISNUMBER(INDEX(ExPost!$L$6:$L$55,MATCH(A14,ExPost!$A$6:$A$55,0))),INDEX(ExPost!$L$6:$L$55,MATCH(A14,ExPost!$A$6:$A$55,0)),""),"")</x:f>
      </x:c>
      <x:c r="D14" s="41" t="str">
        <x:f>IF(COUNTIF(CarryForward!$A$6:$A$55,A14)=1,IF(ISNUMBER(INDEX(CarryForward!$J$6:$J$55,MATCH(A14,CarryForward!$A$6:$A$55,0))),INDEX(CarryForward!$J$6:$J$55,MATCH(A14,CarryForward!$A$6:$A$55,0)),""),"")</x:f>
      </x:c>
      <x:c r="E14" s="41" t="str">
        <x:f>IF(COUNTIF(Settlement!$A$6:$A$55,A14)=1,IF(ISNUMBER(INDEX(Settlement!$J$6:$J$55,MATCH(A14,Settlement!$A$6:$A$55,0))),INDEX(Settlement!$J$6:$J$55,MATCH(A14,Settlement!$A$6:$A$55,0)),""),"")</x:f>
      </x:c>
      <x:c r="F14" s="41" t="str">
        <x:f>IF(COUNTIF(Settlement!$A$6:$A$55,A14)=1,IF(ISNUMBER(INDEX(Settlement!$L$6:$L$55,MATCH(A14,Settlement!$A$6:$A$55,0))),INDEX(Settlement!$L$6:$L$55,MATCH(A14,Settlement!$A$6:$A$55,0)),""),"")</x:f>
      </x:c>
      <x:c r="G14" s="41" t="str">
        <x:f>IF(A14="","",IF(ISNUMBER(Profile!$B$8),IF(Profile!$B$8&gt;0,Profile!$B$8,""),""))</x:f>
      </x:c>
      <x:c r="H14" s="41" t="str">
        <x:f>IF(COUNT(F14:G14)=2,IF(AND(COUNTIF(ExPost!$A$6:$A$55,A14)=1,COUNTIF(Settlement!$A$6:$A$55,A14)=1,COUNTIF(CarryForward!$A$6:$A$55,A14)=1,COUNTIFS(ExPost!$A$6:$A$55,A14,ExPost!$P$6:$P$55,"CALCULATED - EP")=1,COUNTIFS(Settlement!$A$6:$A$55,A14,Settlement!$M$6:$M$55,"CANDIDATE - NO AUTHORIZATION")=1,COUNTIFS(CarryForward!$A$6:$A$55,A14,CarryForward!$N$6:$N$55,"CALCULATED - REVIEW LEDGER")=1,F14&gt;=0,G14&gt;0,Profile!$B$7&lt;&gt;"",Profile!$B$10&lt;&gt;""),F14/G14,""),"")</x:f>
      </x:c>
      <x:c r="I14" s="36"/>
      <x:c r="J14" s="41" t="str">
        <x:f>IF(A14="","","NO AUTHORIZATION BY WORKBOOK")</x:f>
      </x:c>
    </x:row>
    <x:row r="15" ht="23" customHeight="1">
      <x:c r="A15" s="38"/>
      <x:c r="B15" s="41" t="str">
        <x:f>IF(COUNTIF(ExPost!$A$6:$A$55,A15)=1,IF(ISNUMBER(INDEX(ExPost!$I$6:$I$55,MATCH(A15,ExPost!$A$6:$A$55,0))),INDEX(ExPost!$I$6:$I$55,MATCH(A15,ExPost!$A$6:$A$55,0)),""),"")</x:f>
      </x:c>
      <x:c r="C15" s="41" t="str">
        <x:f>IF(COUNTIF(ExPost!$A$6:$A$55,A15)=1,IF(ISNUMBER(INDEX(ExPost!$L$6:$L$55,MATCH(A15,ExPost!$A$6:$A$55,0))),INDEX(ExPost!$L$6:$L$55,MATCH(A15,ExPost!$A$6:$A$55,0)),""),"")</x:f>
      </x:c>
      <x:c r="D15" s="41" t="str">
        <x:f>IF(COUNTIF(CarryForward!$A$6:$A$55,A15)=1,IF(ISNUMBER(INDEX(CarryForward!$J$6:$J$55,MATCH(A15,CarryForward!$A$6:$A$55,0))),INDEX(CarryForward!$J$6:$J$55,MATCH(A15,CarryForward!$A$6:$A$55,0)),""),"")</x:f>
      </x:c>
      <x:c r="E15" s="41" t="str">
        <x:f>IF(COUNTIF(Settlement!$A$6:$A$55,A15)=1,IF(ISNUMBER(INDEX(Settlement!$J$6:$J$55,MATCH(A15,Settlement!$A$6:$A$55,0))),INDEX(Settlement!$J$6:$J$55,MATCH(A15,Settlement!$A$6:$A$55,0)),""),"")</x:f>
      </x:c>
      <x:c r="F15" s="41" t="str">
        <x:f>IF(COUNTIF(Settlement!$A$6:$A$55,A15)=1,IF(ISNUMBER(INDEX(Settlement!$L$6:$L$55,MATCH(A15,Settlement!$A$6:$A$55,0))),INDEX(Settlement!$L$6:$L$55,MATCH(A15,Settlement!$A$6:$A$55,0)),""),"")</x:f>
      </x:c>
      <x:c r="G15" s="41" t="str">
        <x:f>IF(A15="","",IF(ISNUMBER(Profile!$B$8),IF(Profile!$B$8&gt;0,Profile!$B$8,""),""))</x:f>
      </x:c>
      <x:c r="H15" s="41" t="str">
        <x:f>IF(COUNT(F15:G15)=2,IF(AND(COUNTIF(ExPost!$A$6:$A$55,A15)=1,COUNTIF(Settlement!$A$6:$A$55,A15)=1,COUNTIF(CarryForward!$A$6:$A$55,A15)=1,COUNTIFS(ExPost!$A$6:$A$55,A15,ExPost!$P$6:$P$55,"CALCULATED - EP")=1,COUNTIFS(Settlement!$A$6:$A$55,A15,Settlement!$M$6:$M$55,"CANDIDATE - NO AUTHORIZATION")=1,COUNTIFS(CarryForward!$A$6:$A$55,A15,CarryForward!$N$6:$N$55,"CALCULATED - REVIEW LEDGER")=1,F15&gt;=0,G15&gt;0,Profile!$B$7&lt;&gt;"",Profile!$B$10&lt;&gt;""),F15/G15,""),"")</x:f>
      </x:c>
      <x:c r="I15" s="36"/>
      <x:c r="J15" s="41" t="str">
        <x:f>IF(A15="","","NO AUTHORIZATION BY WORKBOOK")</x:f>
      </x:c>
    </x:row>
    <x:row r="16" ht="23" customHeight="1">
      <x:c r="A16" s="38"/>
      <x:c r="B16" s="41" t="str">
        <x:f>IF(COUNTIF(ExPost!$A$6:$A$55,A16)=1,IF(ISNUMBER(INDEX(ExPost!$I$6:$I$55,MATCH(A16,ExPost!$A$6:$A$55,0))),INDEX(ExPost!$I$6:$I$55,MATCH(A16,ExPost!$A$6:$A$55,0)),""),"")</x:f>
      </x:c>
      <x:c r="C16" s="41" t="str">
        <x:f>IF(COUNTIF(ExPost!$A$6:$A$55,A16)=1,IF(ISNUMBER(INDEX(ExPost!$L$6:$L$55,MATCH(A16,ExPost!$A$6:$A$55,0))),INDEX(ExPost!$L$6:$L$55,MATCH(A16,ExPost!$A$6:$A$55,0)),""),"")</x:f>
      </x:c>
      <x:c r="D16" s="41" t="str">
        <x:f>IF(COUNTIF(CarryForward!$A$6:$A$55,A16)=1,IF(ISNUMBER(INDEX(CarryForward!$J$6:$J$55,MATCH(A16,CarryForward!$A$6:$A$55,0))),INDEX(CarryForward!$J$6:$J$55,MATCH(A16,CarryForward!$A$6:$A$55,0)),""),"")</x:f>
      </x:c>
      <x:c r="E16" s="41" t="str">
        <x:f>IF(COUNTIF(Settlement!$A$6:$A$55,A16)=1,IF(ISNUMBER(INDEX(Settlement!$J$6:$J$55,MATCH(A16,Settlement!$A$6:$A$55,0))),INDEX(Settlement!$J$6:$J$55,MATCH(A16,Settlement!$A$6:$A$55,0)),""),"")</x:f>
      </x:c>
      <x:c r="F16" s="41" t="str">
        <x:f>IF(COUNTIF(Settlement!$A$6:$A$55,A16)=1,IF(ISNUMBER(INDEX(Settlement!$L$6:$L$55,MATCH(A16,Settlement!$A$6:$A$55,0))),INDEX(Settlement!$L$6:$L$55,MATCH(A16,Settlement!$A$6:$A$55,0)),""),"")</x:f>
      </x:c>
      <x:c r="G16" s="41" t="str">
        <x:f>IF(A16="","",IF(ISNUMBER(Profile!$B$8),IF(Profile!$B$8&gt;0,Profile!$B$8,""),""))</x:f>
      </x:c>
      <x:c r="H16" s="41" t="str">
        <x:f>IF(COUNT(F16:G16)=2,IF(AND(COUNTIF(ExPost!$A$6:$A$55,A16)=1,COUNTIF(Settlement!$A$6:$A$55,A16)=1,COUNTIF(CarryForward!$A$6:$A$55,A16)=1,COUNTIFS(ExPost!$A$6:$A$55,A16,ExPost!$P$6:$P$55,"CALCULATED - EP")=1,COUNTIFS(Settlement!$A$6:$A$55,A16,Settlement!$M$6:$M$55,"CANDIDATE - NO AUTHORIZATION")=1,COUNTIFS(CarryForward!$A$6:$A$55,A16,CarryForward!$N$6:$N$55,"CALCULATED - REVIEW LEDGER")=1,F16&gt;=0,G16&gt;0,Profile!$B$7&lt;&gt;"",Profile!$B$10&lt;&gt;""),F16/G16,""),"")</x:f>
      </x:c>
      <x:c r="I16" s="36"/>
      <x:c r="J16" s="41" t="str">
        <x:f>IF(A16="","","NO AUTHORIZATION BY WORKBOOK")</x:f>
      </x:c>
    </x:row>
    <x:row r="17" ht="23" customHeight="1">
      <x:c r="A17" s="38"/>
      <x:c r="B17" s="41" t="str">
        <x:f>IF(COUNTIF(ExPost!$A$6:$A$55,A17)=1,IF(ISNUMBER(INDEX(ExPost!$I$6:$I$55,MATCH(A17,ExPost!$A$6:$A$55,0))),INDEX(ExPost!$I$6:$I$55,MATCH(A17,ExPost!$A$6:$A$55,0)),""),"")</x:f>
      </x:c>
      <x:c r="C17" s="41" t="str">
        <x:f>IF(COUNTIF(ExPost!$A$6:$A$55,A17)=1,IF(ISNUMBER(INDEX(ExPost!$L$6:$L$55,MATCH(A17,ExPost!$A$6:$A$55,0))),INDEX(ExPost!$L$6:$L$55,MATCH(A17,ExPost!$A$6:$A$55,0)),""),"")</x:f>
      </x:c>
      <x:c r="D17" s="41" t="str">
        <x:f>IF(COUNTIF(CarryForward!$A$6:$A$55,A17)=1,IF(ISNUMBER(INDEX(CarryForward!$J$6:$J$55,MATCH(A17,CarryForward!$A$6:$A$55,0))),INDEX(CarryForward!$J$6:$J$55,MATCH(A17,CarryForward!$A$6:$A$55,0)),""),"")</x:f>
      </x:c>
      <x:c r="E17" s="41" t="str">
        <x:f>IF(COUNTIF(Settlement!$A$6:$A$55,A17)=1,IF(ISNUMBER(INDEX(Settlement!$J$6:$J$55,MATCH(A17,Settlement!$A$6:$A$55,0))),INDEX(Settlement!$J$6:$J$55,MATCH(A17,Settlement!$A$6:$A$55,0)),""),"")</x:f>
      </x:c>
      <x:c r="F17" s="41" t="str">
        <x:f>IF(COUNTIF(Settlement!$A$6:$A$55,A17)=1,IF(ISNUMBER(INDEX(Settlement!$L$6:$L$55,MATCH(A17,Settlement!$A$6:$A$55,0))),INDEX(Settlement!$L$6:$L$55,MATCH(A17,Settlement!$A$6:$A$55,0)),""),"")</x:f>
      </x:c>
      <x:c r="G17" s="41" t="str">
        <x:f>IF(A17="","",IF(ISNUMBER(Profile!$B$8),IF(Profile!$B$8&gt;0,Profile!$B$8,""),""))</x:f>
      </x:c>
      <x:c r="H17" s="41" t="str">
        <x:f>IF(COUNT(F17:G17)=2,IF(AND(COUNTIF(ExPost!$A$6:$A$55,A17)=1,COUNTIF(Settlement!$A$6:$A$55,A17)=1,COUNTIF(CarryForward!$A$6:$A$55,A17)=1,COUNTIFS(ExPost!$A$6:$A$55,A17,ExPost!$P$6:$P$55,"CALCULATED - EP")=1,COUNTIFS(Settlement!$A$6:$A$55,A17,Settlement!$M$6:$M$55,"CANDIDATE - NO AUTHORIZATION")=1,COUNTIFS(CarryForward!$A$6:$A$55,A17,CarryForward!$N$6:$N$55,"CALCULATED - REVIEW LEDGER")=1,F17&gt;=0,G17&gt;0,Profile!$B$7&lt;&gt;"",Profile!$B$10&lt;&gt;""),F17/G17,""),"")</x:f>
      </x:c>
      <x:c r="I17" s="36"/>
      <x:c r="J17" s="41" t="str">
        <x:f>IF(A17="","","NO AUTHORIZATION BY WORKBOOK")</x:f>
      </x:c>
    </x:row>
    <x:row r="18" ht="23" customHeight="1">
      <x:c r="A18" s="38"/>
      <x:c r="B18" s="41" t="str">
        <x:f>IF(COUNTIF(ExPost!$A$6:$A$55,A18)=1,IF(ISNUMBER(INDEX(ExPost!$I$6:$I$55,MATCH(A18,ExPost!$A$6:$A$55,0))),INDEX(ExPost!$I$6:$I$55,MATCH(A18,ExPost!$A$6:$A$55,0)),""),"")</x:f>
      </x:c>
      <x:c r="C18" s="41" t="str">
        <x:f>IF(COUNTIF(ExPost!$A$6:$A$55,A18)=1,IF(ISNUMBER(INDEX(ExPost!$L$6:$L$55,MATCH(A18,ExPost!$A$6:$A$55,0))),INDEX(ExPost!$L$6:$L$55,MATCH(A18,ExPost!$A$6:$A$55,0)),""),"")</x:f>
      </x:c>
      <x:c r="D18" s="41" t="str">
        <x:f>IF(COUNTIF(CarryForward!$A$6:$A$55,A18)=1,IF(ISNUMBER(INDEX(CarryForward!$J$6:$J$55,MATCH(A18,CarryForward!$A$6:$A$55,0))),INDEX(CarryForward!$J$6:$J$55,MATCH(A18,CarryForward!$A$6:$A$55,0)),""),"")</x:f>
      </x:c>
      <x:c r="E18" s="41" t="str">
        <x:f>IF(COUNTIF(Settlement!$A$6:$A$55,A18)=1,IF(ISNUMBER(INDEX(Settlement!$J$6:$J$55,MATCH(A18,Settlement!$A$6:$A$55,0))),INDEX(Settlement!$J$6:$J$55,MATCH(A18,Settlement!$A$6:$A$55,0)),""),"")</x:f>
      </x:c>
      <x:c r="F18" s="41" t="str">
        <x:f>IF(COUNTIF(Settlement!$A$6:$A$55,A18)=1,IF(ISNUMBER(INDEX(Settlement!$L$6:$L$55,MATCH(A18,Settlement!$A$6:$A$55,0))),INDEX(Settlement!$L$6:$L$55,MATCH(A18,Settlement!$A$6:$A$55,0)),""),"")</x:f>
      </x:c>
      <x:c r="G18" s="41" t="str">
        <x:f>IF(A18="","",IF(ISNUMBER(Profile!$B$8),IF(Profile!$B$8&gt;0,Profile!$B$8,""),""))</x:f>
      </x:c>
      <x:c r="H18" s="41" t="str">
        <x:f>IF(COUNT(F18:G18)=2,IF(AND(COUNTIF(ExPost!$A$6:$A$55,A18)=1,COUNTIF(Settlement!$A$6:$A$55,A18)=1,COUNTIF(CarryForward!$A$6:$A$55,A18)=1,COUNTIFS(ExPost!$A$6:$A$55,A18,ExPost!$P$6:$P$55,"CALCULATED - EP")=1,COUNTIFS(Settlement!$A$6:$A$55,A18,Settlement!$M$6:$M$55,"CANDIDATE - NO AUTHORIZATION")=1,COUNTIFS(CarryForward!$A$6:$A$55,A18,CarryForward!$N$6:$N$55,"CALCULATED - REVIEW LEDGER")=1,F18&gt;=0,G18&gt;0,Profile!$B$7&lt;&gt;"",Profile!$B$10&lt;&gt;""),F18/G18,""),"")</x:f>
      </x:c>
      <x:c r="I18" s="36"/>
      <x:c r="J18" s="41" t="str">
        <x:f>IF(A18="","","NO AUTHORIZATION BY WORKBOOK")</x:f>
      </x:c>
    </x:row>
    <x:row r="19" ht="23" customHeight="1">
      <x:c r="A19" s="38"/>
      <x:c r="B19" s="41" t="str">
        <x:f>IF(COUNTIF(ExPost!$A$6:$A$55,A19)=1,IF(ISNUMBER(INDEX(ExPost!$I$6:$I$55,MATCH(A19,ExPost!$A$6:$A$55,0))),INDEX(ExPost!$I$6:$I$55,MATCH(A19,ExPost!$A$6:$A$55,0)),""),"")</x:f>
      </x:c>
      <x:c r="C19" s="41" t="str">
        <x:f>IF(COUNTIF(ExPost!$A$6:$A$55,A19)=1,IF(ISNUMBER(INDEX(ExPost!$L$6:$L$55,MATCH(A19,ExPost!$A$6:$A$55,0))),INDEX(ExPost!$L$6:$L$55,MATCH(A19,ExPost!$A$6:$A$55,0)),""),"")</x:f>
      </x:c>
      <x:c r="D19" s="41" t="str">
        <x:f>IF(COUNTIF(CarryForward!$A$6:$A$55,A19)=1,IF(ISNUMBER(INDEX(CarryForward!$J$6:$J$55,MATCH(A19,CarryForward!$A$6:$A$55,0))),INDEX(CarryForward!$J$6:$J$55,MATCH(A19,CarryForward!$A$6:$A$55,0)),""),"")</x:f>
      </x:c>
      <x:c r="E19" s="41" t="str">
        <x:f>IF(COUNTIF(Settlement!$A$6:$A$55,A19)=1,IF(ISNUMBER(INDEX(Settlement!$J$6:$J$55,MATCH(A19,Settlement!$A$6:$A$55,0))),INDEX(Settlement!$J$6:$J$55,MATCH(A19,Settlement!$A$6:$A$55,0)),""),"")</x:f>
      </x:c>
      <x:c r="F19" s="41" t="str">
        <x:f>IF(COUNTIF(Settlement!$A$6:$A$55,A19)=1,IF(ISNUMBER(INDEX(Settlement!$L$6:$L$55,MATCH(A19,Settlement!$A$6:$A$55,0))),INDEX(Settlement!$L$6:$L$55,MATCH(A19,Settlement!$A$6:$A$55,0)),""),"")</x:f>
      </x:c>
      <x:c r="G19" s="41" t="str">
        <x:f>IF(A19="","",IF(ISNUMBER(Profile!$B$8),IF(Profile!$B$8&gt;0,Profile!$B$8,""),""))</x:f>
      </x:c>
      <x:c r="H19" s="41" t="str">
        <x:f>IF(COUNT(F19:G19)=2,IF(AND(COUNTIF(ExPost!$A$6:$A$55,A19)=1,COUNTIF(Settlement!$A$6:$A$55,A19)=1,COUNTIF(CarryForward!$A$6:$A$55,A19)=1,COUNTIFS(ExPost!$A$6:$A$55,A19,ExPost!$P$6:$P$55,"CALCULATED - EP")=1,COUNTIFS(Settlement!$A$6:$A$55,A19,Settlement!$M$6:$M$55,"CANDIDATE - NO AUTHORIZATION")=1,COUNTIFS(CarryForward!$A$6:$A$55,A19,CarryForward!$N$6:$N$55,"CALCULATED - REVIEW LEDGER")=1,F19&gt;=0,G19&gt;0,Profile!$B$7&lt;&gt;"",Profile!$B$10&lt;&gt;""),F19/G19,""),"")</x:f>
      </x:c>
      <x:c r="I19" s="36"/>
      <x:c r="J19" s="41" t="str">
        <x:f>IF(A19="","","NO AUTHORIZATION BY WORKBOOK")</x:f>
      </x:c>
    </x:row>
    <x:row r="20" ht="23" customHeight="1">
      <x:c r="A20" s="38"/>
      <x:c r="B20" s="41" t="str">
        <x:f>IF(COUNTIF(ExPost!$A$6:$A$55,A20)=1,IF(ISNUMBER(INDEX(ExPost!$I$6:$I$55,MATCH(A20,ExPost!$A$6:$A$55,0))),INDEX(ExPost!$I$6:$I$55,MATCH(A20,ExPost!$A$6:$A$55,0)),""),"")</x:f>
      </x:c>
      <x:c r="C20" s="41" t="str">
        <x:f>IF(COUNTIF(ExPost!$A$6:$A$55,A20)=1,IF(ISNUMBER(INDEX(ExPost!$L$6:$L$55,MATCH(A20,ExPost!$A$6:$A$55,0))),INDEX(ExPost!$L$6:$L$55,MATCH(A20,ExPost!$A$6:$A$55,0)),""),"")</x:f>
      </x:c>
      <x:c r="D20" s="41" t="str">
        <x:f>IF(COUNTIF(CarryForward!$A$6:$A$55,A20)=1,IF(ISNUMBER(INDEX(CarryForward!$J$6:$J$55,MATCH(A20,CarryForward!$A$6:$A$55,0))),INDEX(CarryForward!$J$6:$J$55,MATCH(A20,CarryForward!$A$6:$A$55,0)),""),"")</x:f>
      </x:c>
      <x:c r="E20" s="41" t="str">
        <x:f>IF(COUNTIF(Settlement!$A$6:$A$55,A20)=1,IF(ISNUMBER(INDEX(Settlement!$J$6:$J$55,MATCH(A20,Settlement!$A$6:$A$55,0))),INDEX(Settlement!$J$6:$J$55,MATCH(A20,Settlement!$A$6:$A$55,0)),""),"")</x:f>
      </x:c>
      <x:c r="F20" s="41" t="str">
        <x:f>IF(COUNTIF(Settlement!$A$6:$A$55,A20)=1,IF(ISNUMBER(INDEX(Settlement!$L$6:$L$55,MATCH(A20,Settlement!$A$6:$A$55,0))),INDEX(Settlement!$L$6:$L$55,MATCH(A20,Settlement!$A$6:$A$55,0)),""),"")</x:f>
      </x:c>
      <x:c r="G20" s="41" t="str">
        <x:f>IF(A20="","",IF(ISNUMBER(Profile!$B$8),IF(Profile!$B$8&gt;0,Profile!$B$8,""),""))</x:f>
      </x:c>
      <x:c r="H20" s="41" t="str">
        <x:f>IF(COUNT(F20:G20)=2,IF(AND(COUNTIF(ExPost!$A$6:$A$55,A20)=1,COUNTIF(Settlement!$A$6:$A$55,A20)=1,COUNTIF(CarryForward!$A$6:$A$55,A20)=1,COUNTIFS(ExPost!$A$6:$A$55,A20,ExPost!$P$6:$P$55,"CALCULATED - EP")=1,COUNTIFS(Settlement!$A$6:$A$55,A20,Settlement!$M$6:$M$55,"CANDIDATE - NO AUTHORIZATION")=1,COUNTIFS(CarryForward!$A$6:$A$55,A20,CarryForward!$N$6:$N$55,"CALCULATED - REVIEW LEDGER")=1,F20&gt;=0,G20&gt;0,Profile!$B$7&lt;&gt;"",Profile!$B$10&lt;&gt;""),F20/G20,""),"")</x:f>
      </x:c>
      <x:c r="I20" s="36"/>
      <x:c r="J20" s="41" t="str">
        <x:f>IF(A20="","","NO AUTHORIZATION BY WORKBOOK")</x:f>
      </x:c>
    </x:row>
    <x:row r="21" ht="23" customHeight="1">
      <x:c r="A21" s="38"/>
      <x:c r="B21" s="41" t="str">
        <x:f>IF(COUNTIF(ExPost!$A$6:$A$55,A21)=1,IF(ISNUMBER(INDEX(ExPost!$I$6:$I$55,MATCH(A21,ExPost!$A$6:$A$55,0))),INDEX(ExPost!$I$6:$I$55,MATCH(A21,ExPost!$A$6:$A$55,0)),""),"")</x:f>
      </x:c>
      <x:c r="C21" s="41" t="str">
        <x:f>IF(COUNTIF(ExPost!$A$6:$A$55,A21)=1,IF(ISNUMBER(INDEX(ExPost!$L$6:$L$55,MATCH(A21,ExPost!$A$6:$A$55,0))),INDEX(ExPost!$L$6:$L$55,MATCH(A21,ExPost!$A$6:$A$55,0)),""),"")</x:f>
      </x:c>
      <x:c r="D21" s="41" t="str">
        <x:f>IF(COUNTIF(CarryForward!$A$6:$A$55,A21)=1,IF(ISNUMBER(INDEX(CarryForward!$J$6:$J$55,MATCH(A21,CarryForward!$A$6:$A$55,0))),INDEX(CarryForward!$J$6:$J$55,MATCH(A21,CarryForward!$A$6:$A$55,0)),""),"")</x:f>
      </x:c>
      <x:c r="E21" s="41" t="str">
        <x:f>IF(COUNTIF(Settlement!$A$6:$A$55,A21)=1,IF(ISNUMBER(INDEX(Settlement!$J$6:$J$55,MATCH(A21,Settlement!$A$6:$A$55,0))),INDEX(Settlement!$J$6:$J$55,MATCH(A21,Settlement!$A$6:$A$55,0)),""),"")</x:f>
      </x:c>
      <x:c r="F21" s="41" t="str">
        <x:f>IF(COUNTIF(Settlement!$A$6:$A$55,A21)=1,IF(ISNUMBER(INDEX(Settlement!$L$6:$L$55,MATCH(A21,Settlement!$A$6:$A$55,0))),INDEX(Settlement!$L$6:$L$55,MATCH(A21,Settlement!$A$6:$A$55,0)),""),"")</x:f>
      </x:c>
      <x:c r="G21" s="41" t="str">
        <x:f>IF(A21="","",IF(ISNUMBER(Profile!$B$8),IF(Profile!$B$8&gt;0,Profile!$B$8,""),""))</x:f>
      </x:c>
      <x:c r="H21" s="41" t="str">
        <x:f>IF(COUNT(F21:G21)=2,IF(AND(COUNTIF(ExPost!$A$6:$A$55,A21)=1,COUNTIF(Settlement!$A$6:$A$55,A21)=1,COUNTIF(CarryForward!$A$6:$A$55,A21)=1,COUNTIFS(ExPost!$A$6:$A$55,A21,ExPost!$P$6:$P$55,"CALCULATED - EP")=1,COUNTIFS(Settlement!$A$6:$A$55,A21,Settlement!$M$6:$M$55,"CANDIDATE - NO AUTHORIZATION")=1,COUNTIFS(CarryForward!$A$6:$A$55,A21,CarryForward!$N$6:$N$55,"CALCULATED - REVIEW LEDGER")=1,F21&gt;=0,G21&gt;0,Profile!$B$7&lt;&gt;"",Profile!$B$10&lt;&gt;""),F21/G21,""),"")</x:f>
      </x:c>
      <x:c r="I21" s="36"/>
      <x:c r="J21" s="41" t="str">
        <x:f>IF(A21="","","NO AUTHORIZATION BY WORKBOOK")</x:f>
      </x:c>
    </x:row>
    <x:row r="22" ht="23" customHeight="1">
      <x:c r="A22" s="38"/>
      <x:c r="B22" s="41" t="str">
        <x:f>IF(COUNTIF(ExPost!$A$6:$A$55,A22)=1,IF(ISNUMBER(INDEX(ExPost!$I$6:$I$55,MATCH(A22,ExPost!$A$6:$A$55,0))),INDEX(ExPost!$I$6:$I$55,MATCH(A22,ExPost!$A$6:$A$55,0)),""),"")</x:f>
      </x:c>
      <x:c r="C22" s="41" t="str">
        <x:f>IF(COUNTIF(ExPost!$A$6:$A$55,A22)=1,IF(ISNUMBER(INDEX(ExPost!$L$6:$L$55,MATCH(A22,ExPost!$A$6:$A$55,0))),INDEX(ExPost!$L$6:$L$55,MATCH(A22,ExPost!$A$6:$A$55,0)),""),"")</x:f>
      </x:c>
      <x:c r="D22" s="41" t="str">
        <x:f>IF(COUNTIF(CarryForward!$A$6:$A$55,A22)=1,IF(ISNUMBER(INDEX(CarryForward!$J$6:$J$55,MATCH(A22,CarryForward!$A$6:$A$55,0))),INDEX(CarryForward!$J$6:$J$55,MATCH(A22,CarryForward!$A$6:$A$55,0)),""),"")</x:f>
      </x:c>
      <x:c r="E22" s="41" t="str">
        <x:f>IF(COUNTIF(Settlement!$A$6:$A$55,A22)=1,IF(ISNUMBER(INDEX(Settlement!$J$6:$J$55,MATCH(A22,Settlement!$A$6:$A$55,0))),INDEX(Settlement!$J$6:$J$55,MATCH(A22,Settlement!$A$6:$A$55,0)),""),"")</x:f>
      </x:c>
      <x:c r="F22" s="41" t="str">
        <x:f>IF(COUNTIF(Settlement!$A$6:$A$55,A22)=1,IF(ISNUMBER(INDEX(Settlement!$L$6:$L$55,MATCH(A22,Settlement!$A$6:$A$55,0))),INDEX(Settlement!$L$6:$L$55,MATCH(A22,Settlement!$A$6:$A$55,0)),""),"")</x:f>
      </x:c>
      <x:c r="G22" s="41" t="str">
        <x:f>IF(A22="","",IF(ISNUMBER(Profile!$B$8),IF(Profile!$B$8&gt;0,Profile!$B$8,""),""))</x:f>
      </x:c>
      <x:c r="H22" s="41" t="str">
        <x:f>IF(COUNT(F22:G22)=2,IF(AND(COUNTIF(ExPost!$A$6:$A$55,A22)=1,COUNTIF(Settlement!$A$6:$A$55,A22)=1,COUNTIF(CarryForward!$A$6:$A$55,A22)=1,COUNTIFS(ExPost!$A$6:$A$55,A22,ExPost!$P$6:$P$55,"CALCULATED - EP")=1,COUNTIFS(Settlement!$A$6:$A$55,A22,Settlement!$M$6:$M$55,"CANDIDATE - NO AUTHORIZATION")=1,COUNTIFS(CarryForward!$A$6:$A$55,A22,CarryForward!$N$6:$N$55,"CALCULATED - REVIEW LEDGER")=1,F22&gt;=0,G22&gt;0,Profile!$B$7&lt;&gt;"",Profile!$B$10&lt;&gt;""),F22/G22,""),"")</x:f>
      </x:c>
      <x:c r="I22" s="36"/>
      <x:c r="J22" s="41" t="str">
        <x:f>IF(A22="","","NO AUTHORIZATION BY WORKBOOK")</x:f>
      </x:c>
    </x:row>
    <x:row r="23" ht="23" customHeight="1">
      <x:c r="A23" s="38"/>
      <x:c r="B23" s="41" t="str">
        <x:f>IF(COUNTIF(ExPost!$A$6:$A$55,A23)=1,IF(ISNUMBER(INDEX(ExPost!$I$6:$I$55,MATCH(A23,ExPost!$A$6:$A$55,0))),INDEX(ExPost!$I$6:$I$55,MATCH(A23,ExPost!$A$6:$A$55,0)),""),"")</x:f>
      </x:c>
      <x:c r="C23" s="41" t="str">
        <x:f>IF(COUNTIF(ExPost!$A$6:$A$55,A23)=1,IF(ISNUMBER(INDEX(ExPost!$L$6:$L$55,MATCH(A23,ExPost!$A$6:$A$55,0))),INDEX(ExPost!$L$6:$L$55,MATCH(A23,ExPost!$A$6:$A$55,0)),""),"")</x:f>
      </x:c>
      <x:c r="D23" s="41" t="str">
        <x:f>IF(COUNTIF(CarryForward!$A$6:$A$55,A23)=1,IF(ISNUMBER(INDEX(CarryForward!$J$6:$J$55,MATCH(A23,CarryForward!$A$6:$A$55,0))),INDEX(CarryForward!$J$6:$J$55,MATCH(A23,CarryForward!$A$6:$A$55,0)),""),"")</x:f>
      </x:c>
      <x:c r="E23" s="41" t="str">
        <x:f>IF(COUNTIF(Settlement!$A$6:$A$55,A23)=1,IF(ISNUMBER(INDEX(Settlement!$J$6:$J$55,MATCH(A23,Settlement!$A$6:$A$55,0))),INDEX(Settlement!$J$6:$J$55,MATCH(A23,Settlement!$A$6:$A$55,0)),""),"")</x:f>
      </x:c>
      <x:c r="F23" s="41" t="str">
        <x:f>IF(COUNTIF(Settlement!$A$6:$A$55,A23)=1,IF(ISNUMBER(INDEX(Settlement!$L$6:$L$55,MATCH(A23,Settlement!$A$6:$A$55,0))),INDEX(Settlement!$L$6:$L$55,MATCH(A23,Settlement!$A$6:$A$55,0)),""),"")</x:f>
      </x:c>
      <x:c r="G23" s="41" t="str">
        <x:f>IF(A23="","",IF(ISNUMBER(Profile!$B$8),IF(Profile!$B$8&gt;0,Profile!$B$8,""),""))</x:f>
      </x:c>
      <x:c r="H23" s="41" t="str">
        <x:f>IF(COUNT(F23:G23)=2,IF(AND(COUNTIF(ExPost!$A$6:$A$55,A23)=1,COUNTIF(Settlement!$A$6:$A$55,A23)=1,COUNTIF(CarryForward!$A$6:$A$55,A23)=1,COUNTIFS(ExPost!$A$6:$A$55,A23,ExPost!$P$6:$P$55,"CALCULATED - EP")=1,COUNTIFS(Settlement!$A$6:$A$55,A23,Settlement!$M$6:$M$55,"CANDIDATE - NO AUTHORIZATION")=1,COUNTIFS(CarryForward!$A$6:$A$55,A23,CarryForward!$N$6:$N$55,"CALCULATED - REVIEW LEDGER")=1,F23&gt;=0,G23&gt;0,Profile!$B$7&lt;&gt;"",Profile!$B$10&lt;&gt;""),F23/G23,""),"")</x:f>
      </x:c>
      <x:c r="I23" s="36"/>
      <x:c r="J23" s="41" t="str">
        <x:f>IF(A23="","","NO AUTHORIZATION BY WORKBOOK")</x:f>
      </x:c>
    </x:row>
    <x:row r="24" ht="23" customHeight="1">
      <x:c r="A24" s="38"/>
      <x:c r="B24" s="41" t="str">
        <x:f>IF(COUNTIF(ExPost!$A$6:$A$55,A24)=1,IF(ISNUMBER(INDEX(ExPost!$I$6:$I$55,MATCH(A24,ExPost!$A$6:$A$55,0))),INDEX(ExPost!$I$6:$I$55,MATCH(A24,ExPost!$A$6:$A$55,0)),""),"")</x:f>
      </x:c>
      <x:c r="C24" s="41" t="str">
        <x:f>IF(COUNTIF(ExPost!$A$6:$A$55,A24)=1,IF(ISNUMBER(INDEX(ExPost!$L$6:$L$55,MATCH(A24,ExPost!$A$6:$A$55,0))),INDEX(ExPost!$L$6:$L$55,MATCH(A24,ExPost!$A$6:$A$55,0)),""),"")</x:f>
      </x:c>
      <x:c r="D24" s="41" t="str">
        <x:f>IF(COUNTIF(CarryForward!$A$6:$A$55,A24)=1,IF(ISNUMBER(INDEX(CarryForward!$J$6:$J$55,MATCH(A24,CarryForward!$A$6:$A$55,0))),INDEX(CarryForward!$J$6:$J$55,MATCH(A24,CarryForward!$A$6:$A$55,0)),""),"")</x:f>
      </x:c>
      <x:c r="E24" s="41" t="str">
        <x:f>IF(COUNTIF(Settlement!$A$6:$A$55,A24)=1,IF(ISNUMBER(INDEX(Settlement!$J$6:$J$55,MATCH(A24,Settlement!$A$6:$A$55,0))),INDEX(Settlement!$J$6:$J$55,MATCH(A24,Settlement!$A$6:$A$55,0)),""),"")</x:f>
      </x:c>
      <x:c r="F24" s="41" t="str">
        <x:f>IF(COUNTIF(Settlement!$A$6:$A$55,A24)=1,IF(ISNUMBER(INDEX(Settlement!$L$6:$L$55,MATCH(A24,Settlement!$A$6:$A$55,0))),INDEX(Settlement!$L$6:$L$55,MATCH(A24,Settlement!$A$6:$A$55,0)),""),"")</x:f>
      </x:c>
      <x:c r="G24" s="41" t="str">
        <x:f>IF(A24="","",IF(ISNUMBER(Profile!$B$8),IF(Profile!$B$8&gt;0,Profile!$B$8,""),""))</x:f>
      </x:c>
      <x:c r="H24" s="41" t="str">
        <x:f>IF(COUNT(F24:G24)=2,IF(AND(COUNTIF(ExPost!$A$6:$A$55,A24)=1,COUNTIF(Settlement!$A$6:$A$55,A24)=1,COUNTIF(CarryForward!$A$6:$A$55,A24)=1,COUNTIFS(ExPost!$A$6:$A$55,A24,ExPost!$P$6:$P$55,"CALCULATED - EP")=1,COUNTIFS(Settlement!$A$6:$A$55,A24,Settlement!$M$6:$M$55,"CANDIDATE - NO AUTHORIZATION")=1,COUNTIFS(CarryForward!$A$6:$A$55,A24,CarryForward!$N$6:$N$55,"CALCULATED - REVIEW LEDGER")=1,F24&gt;=0,G24&gt;0,Profile!$B$7&lt;&gt;"",Profile!$B$10&lt;&gt;""),F24/G24,""),"")</x:f>
      </x:c>
      <x:c r="I24" s="36"/>
      <x:c r="J24" s="41" t="str">
        <x:f>IF(A24="","","NO AUTHORIZATION BY WORKBOOK")</x:f>
      </x:c>
    </x:row>
    <x:row r="25" ht="23" customHeight="1">
      <x:c r="A25" s="38"/>
      <x:c r="B25" s="41" t="str">
        <x:f>IF(COUNTIF(ExPost!$A$6:$A$55,A25)=1,IF(ISNUMBER(INDEX(ExPost!$I$6:$I$55,MATCH(A25,ExPost!$A$6:$A$55,0))),INDEX(ExPost!$I$6:$I$55,MATCH(A25,ExPost!$A$6:$A$55,0)),""),"")</x:f>
      </x:c>
      <x:c r="C25" s="41" t="str">
        <x:f>IF(COUNTIF(ExPost!$A$6:$A$55,A25)=1,IF(ISNUMBER(INDEX(ExPost!$L$6:$L$55,MATCH(A25,ExPost!$A$6:$A$55,0))),INDEX(ExPost!$L$6:$L$55,MATCH(A25,ExPost!$A$6:$A$55,0)),""),"")</x:f>
      </x:c>
      <x:c r="D25" s="41" t="str">
        <x:f>IF(COUNTIF(CarryForward!$A$6:$A$55,A25)=1,IF(ISNUMBER(INDEX(CarryForward!$J$6:$J$55,MATCH(A25,CarryForward!$A$6:$A$55,0))),INDEX(CarryForward!$J$6:$J$55,MATCH(A25,CarryForward!$A$6:$A$55,0)),""),"")</x:f>
      </x:c>
      <x:c r="E25" s="41" t="str">
        <x:f>IF(COUNTIF(Settlement!$A$6:$A$55,A25)=1,IF(ISNUMBER(INDEX(Settlement!$J$6:$J$55,MATCH(A25,Settlement!$A$6:$A$55,0))),INDEX(Settlement!$J$6:$J$55,MATCH(A25,Settlement!$A$6:$A$55,0)),""),"")</x:f>
      </x:c>
      <x:c r="F25" s="41" t="str">
        <x:f>IF(COUNTIF(Settlement!$A$6:$A$55,A25)=1,IF(ISNUMBER(INDEX(Settlement!$L$6:$L$55,MATCH(A25,Settlement!$A$6:$A$55,0))),INDEX(Settlement!$L$6:$L$55,MATCH(A25,Settlement!$A$6:$A$55,0)),""),"")</x:f>
      </x:c>
      <x:c r="G25" s="41" t="str">
        <x:f>IF(A25="","",IF(ISNUMBER(Profile!$B$8),IF(Profile!$B$8&gt;0,Profile!$B$8,""),""))</x:f>
      </x:c>
      <x:c r="H25" s="41" t="str">
        <x:f>IF(COUNT(F25:G25)=2,IF(AND(COUNTIF(ExPost!$A$6:$A$55,A25)=1,COUNTIF(Settlement!$A$6:$A$55,A25)=1,COUNTIF(CarryForward!$A$6:$A$55,A25)=1,COUNTIFS(ExPost!$A$6:$A$55,A25,ExPost!$P$6:$P$55,"CALCULATED - EP")=1,COUNTIFS(Settlement!$A$6:$A$55,A25,Settlement!$M$6:$M$55,"CANDIDATE - NO AUTHORIZATION")=1,COUNTIFS(CarryForward!$A$6:$A$55,A25,CarryForward!$N$6:$N$55,"CALCULATED - REVIEW LEDGER")=1,F25&gt;=0,G25&gt;0,Profile!$B$7&lt;&gt;"",Profile!$B$10&lt;&gt;""),F25/G25,""),"")</x:f>
      </x:c>
      <x:c r="I25" s="36"/>
      <x:c r="J25" s="41" t="str">
        <x:f>IF(A25="","","NO AUTHORIZATION BY WORKBOOK")</x:f>
      </x:c>
    </x:row>
    <x:row r="26" ht="23" customHeight="1">
      <x:c r="A26" s="38"/>
      <x:c r="B26" s="41" t="str">
        <x:f>IF(COUNTIF(ExPost!$A$6:$A$55,A26)=1,IF(ISNUMBER(INDEX(ExPost!$I$6:$I$55,MATCH(A26,ExPost!$A$6:$A$55,0))),INDEX(ExPost!$I$6:$I$55,MATCH(A26,ExPost!$A$6:$A$55,0)),""),"")</x:f>
      </x:c>
      <x:c r="C26" s="41" t="str">
        <x:f>IF(COUNTIF(ExPost!$A$6:$A$55,A26)=1,IF(ISNUMBER(INDEX(ExPost!$L$6:$L$55,MATCH(A26,ExPost!$A$6:$A$55,0))),INDEX(ExPost!$L$6:$L$55,MATCH(A26,ExPost!$A$6:$A$55,0)),""),"")</x:f>
      </x:c>
      <x:c r="D26" s="41" t="str">
        <x:f>IF(COUNTIF(CarryForward!$A$6:$A$55,A26)=1,IF(ISNUMBER(INDEX(CarryForward!$J$6:$J$55,MATCH(A26,CarryForward!$A$6:$A$55,0))),INDEX(CarryForward!$J$6:$J$55,MATCH(A26,CarryForward!$A$6:$A$55,0)),""),"")</x:f>
      </x:c>
      <x:c r="E26" s="41" t="str">
        <x:f>IF(COUNTIF(Settlement!$A$6:$A$55,A26)=1,IF(ISNUMBER(INDEX(Settlement!$J$6:$J$55,MATCH(A26,Settlement!$A$6:$A$55,0))),INDEX(Settlement!$J$6:$J$55,MATCH(A26,Settlement!$A$6:$A$55,0)),""),"")</x:f>
      </x:c>
      <x:c r="F26" s="41" t="str">
        <x:f>IF(COUNTIF(Settlement!$A$6:$A$55,A26)=1,IF(ISNUMBER(INDEX(Settlement!$L$6:$L$55,MATCH(A26,Settlement!$A$6:$A$55,0))),INDEX(Settlement!$L$6:$L$55,MATCH(A26,Settlement!$A$6:$A$55,0)),""),"")</x:f>
      </x:c>
      <x:c r="G26" s="41" t="str">
        <x:f>IF(A26="","",IF(ISNUMBER(Profile!$B$8),IF(Profile!$B$8&gt;0,Profile!$B$8,""),""))</x:f>
      </x:c>
      <x:c r="H26" s="41" t="str">
        <x:f>IF(COUNT(F26:G26)=2,IF(AND(COUNTIF(ExPost!$A$6:$A$55,A26)=1,COUNTIF(Settlement!$A$6:$A$55,A26)=1,COUNTIF(CarryForward!$A$6:$A$55,A26)=1,COUNTIFS(ExPost!$A$6:$A$55,A26,ExPost!$P$6:$P$55,"CALCULATED - EP")=1,COUNTIFS(Settlement!$A$6:$A$55,A26,Settlement!$M$6:$M$55,"CANDIDATE - NO AUTHORIZATION")=1,COUNTIFS(CarryForward!$A$6:$A$55,A26,CarryForward!$N$6:$N$55,"CALCULATED - REVIEW LEDGER")=1,F26&gt;=0,G26&gt;0,Profile!$B$7&lt;&gt;"",Profile!$B$10&lt;&gt;""),F26/G26,""),"")</x:f>
      </x:c>
      <x:c r="I26" s="36"/>
      <x:c r="J26" s="41" t="str">
        <x:f>IF(A26="","","NO AUTHORIZATION BY WORKBOOK")</x:f>
      </x:c>
    </x:row>
    <x:row r="27" ht="23" customHeight="1">
      <x:c r="A27" s="38"/>
      <x:c r="B27" s="41" t="str">
        <x:f>IF(COUNTIF(ExPost!$A$6:$A$55,A27)=1,IF(ISNUMBER(INDEX(ExPost!$I$6:$I$55,MATCH(A27,ExPost!$A$6:$A$55,0))),INDEX(ExPost!$I$6:$I$55,MATCH(A27,ExPost!$A$6:$A$55,0)),""),"")</x:f>
      </x:c>
      <x:c r="C27" s="41" t="str">
        <x:f>IF(COUNTIF(ExPost!$A$6:$A$55,A27)=1,IF(ISNUMBER(INDEX(ExPost!$L$6:$L$55,MATCH(A27,ExPost!$A$6:$A$55,0))),INDEX(ExPost!$L$6:$L$55,MATCH(A27,ExPost!$A$6:$A$55,0)),""),"")</x:f>
      </x:c>
      <x:c r="D27" s="41" t="str">
        <x:f>IF(COUNTIF(CarryForward!$A$6:$A$55,A27)=1,IF(ISNUMBER(INDEX(CarryForward!$J$6:$J$55,MATCH(A27,CarryForward!$A$6:$A$55,0))),INDEX(CarryForward!$J$6:$J$55,MATCH(A27,CarryForward!$A$6:$A$55,0)),""),"")</x:f>
      </x:c>
      <x:c r="E27" s="41" t="str">
        <x:f>IF(COUNTIF(Settlement!$A$6:$A$55,A27)=1,IF(ISNUMBER(INDEX(Settlement!$J$6:$J$55,MATCH(A27,Settlement!$A$6:$A$55,0))),INDEX(Settlement!$J$6:$J$55,MATCH(A27,Settlement!$A$6:$A$55,0)),""),"")</x:f>
      </x:c>
      <x:c r="F27" s="41" t="str">
        <x:f>IF(COUNTIF(Settlement!$A$6:$A$55,A27)=1,IF(ISNUMBER(INDEX(Settlement!$L$6:$L$55,MATCH(A27,Settlement!$A$6:$A$55,0))),INDEX(Settlement!$L$6:$L$55,MATCH(A27,Settlement!$A$6:$A$55,0)),""),"")</x:f>
      </x:c>
      <x:c r="G27" s="41" t="str">
        <x:f>IF(A27="","",IF(ISNUMBER(Profile!$B$8),IF(Profile!$B$8&gt;0,Profile!$B$8,""),""))</x:f>
      </x:c>
      <x:c r="H27" s="41" t="str">
        <x:f>IF(COUNT(F27:G27)=2,IF(AND(COUNTIF(ExPost!$A$6:$A$55,A27)=1,COUNTIF(Settlement!$A$6:$A$55,A27)=1,COUNTIF(CarryForward!$A$6:$A$55,A27)=1,COUNTIFS(ExPost!$A$6:$A$55,A27,ExPost!$P$6:$P$55,"CALCULATED - EP")=1,COUNTIFS(Settlement!$A$6:$A$55,A27,Settlement!$M$6:$M$55,"CANDIDATE - NO AUTHORIZATION")=1,COUNTIFS(CarryForward!$A$6:$A$55,A27,CarryForward!$N$6:$N$55,"CALCULATED - REVIEW LEDGER")=1,F27&gt;=0,G27&gt;0,Profile!$B$7&lt;&gt;"",Profile!$B$10&lt;&gt;""),F27/G27,""),"")</x:f>
      </x:c>
      <x:c r="I27" s="36"/>
      <x:c r="J27" s="41" t="str">
        <x:f>IF(A27="","","NO AUTHORIZATION BY WORKBOOK")</x:f>
      </x:c>
    </x:row>
    <x:row r="28" ht="23" customHeight="1">
      <x:c r="A28" s="38"/>
      <x:c r="B28" s="41" t="str">
        <x:f>IF(COUNTIF(ExPost!$A$6:$A$55,A28)=1,IF(ISNUMBER(INDEX(ExPost!$I$6:$I$55,MATCH(A28,ExPost!$A$6:$A$55,0))),INDEX(ExPost!$I$6:$I$55,MATCH(A28,ExPost!$A$6:$A$55,0)),""),"")</x:f>
      </x:c>
      <x:c r="C28" s="41" t="str">
        <x:f>IF(COUNTIF(ExPost!$A$6:$A$55,A28)=1,IF(ISNUMBER(INDEX(ExPost!$L$6:$L$55,MATCH(A28,ExPost!$A$6:$A$55,0))),INDEX(ExPost!$L$6:$L$55,MATCH(A28,ExPost!$A$6:$A$55,0)),""),"")</x:f>
      </x:c>
      <x:c r="D28" s="41" t="str">
        <x:f>IF(COUNTIF(CarryForward!$A$6:$A$55,A28)=1,IF(ISNUMBER(INDEX(CarryForward!$J$6:$J$55,MATCH(A28,CarryForward!$A$6:$A$55,0))),INDEX(CarryForward!$J$6:$J$55,MATCH(A28,CarryForward!$A$6:$A$55,0)),""),"")</x:f>
      </x:c>
      <x:c r="E28" s="41" t="str">
        <x:f>IF(COUNTIF(Settlement!$A$6:$A$55,A28)=1,IF(ISNUMBER(INDEX(Settlement!$J$6:$J$55,MATCH(A28,Settlement!$A$6:$A$55,0))),INDEX(Settlement!$J$6:$J$55,MATCH(A28,Settlement!$A$6:$A$55,0)),""),"")</x:f>
      </x:c>
      <x:c r="F28" s="41" t="str">
        <x:f>IF(COUNTIF(Settlement!$A$6:$A$55,A28)=1,IF(ISNUMBER(INDEX(Settlement!$L$6:$L$55,MATCH(A28,Settlement!$A$6:$A$55,0))),INDEX(Settlement!$L$6:$L$55,MATCH(A28,Settlement!$A$6:$A$55,0)),""),"")</x:f>
      </x:c>
      <x:c r="G28" s="41" t="str">
        <x:f>IF(A28="","",IF(ISNUMBER(Profile!$B$8),IF(Profile!$B$8&gt;0,Profile!$B$8,""),""))</x:f>
      </x:c>
      <x:c r="H28" s="41" t="str">
        <x:f>IF(COUNT(F28:G28)=2,IF(AND(COUNTIF(ExPost!$A$6:$A$55,A28)=1,COUNTIF(Settlement!$A$6:$A$55,A28)=1,COUNTIF(CarryForward!$A$6:$A$55,A28)=1,COUNTIFS(ExPost!$A$6:$A$55,A28,ExPost!$P$6:$P$55,"CALCULATED - EP")=1,COUNTIFS(Settlement!$A$6:$A$55,A28,Settlement!$M$6:$M$55,"CANDIDATE - NO AUTHORIZATION")=1,COUNTIFS(CarryForward!$A$6:$A$55,A28,CarryForward!$N$6:$N$55,"CALCULATED - REVIEW LEDGER")=1,F28&gt;=0,G28&gt;0,Profile!$B$7&lt;&gt;"",Profile!$B$10&lt;&gt;""),F28/G28,""),"")</x:f>
      </x:c>
      <x:c r="I28" s="36"/>
      <x:c r="J28" s="41" t="str">
        <x:f>IF(A28="","","NO AUTHORIZATION BY WORKBOOK")</x:f>
      </x:c>
    </x:row>
    <x:row r="29" ht="23" customHeight="1">
      <x:c r="A29" s="38"/>
      <x:c r="B29" s="41" t="str">
        <x:f>IF(COUNTIF(ExPost!$A$6:$A$55,A29)=1,IF(ISNUMBER(INDEX(ExPost!$I$6:$I$55,MATCH(A29,ExPost!$A$6:$A$55,0))),INDEX(ExPost!$I$6:$I$55,MATCH(A29,ExPost!$A$6:$A$55,0)),""),"")</x:f>
      </x:c>
      <x:c r="C29" s="41" t="str">
        <x:f>IF(COUNTIF(ExPost!$A$6:$A$55,A29)=1,IF(ISNUMBER(INDEX(ExPost!$L$6:$L$55,MATCH(A29,ExPost!$A$6:$A$55,0))),INDEX(ExPost!$L$6:$L$55,MATCH(A29,ExPost!$A$6:$A$55,0)),""),"")</x:f>
      </x:c>
      <x:c r="D29" s="41" t="str">
        <x:f>IF(COUNTIF(CarryForward!$A$6:$A$55,A29)=1,IF(ISNUMBER(INDEX(CarryForward!$J$6:$J$55,MATCH(A29,CarryForward!$A$6:$A$55,0))),INDEX(CarryForward!$J$6:$J$55,MATCH(A29,CarryForward!$A$6:$A$55,0)),""),"")</x:f>
      </x:c>
      <x:c r="E29" s="41" t="str">
        <x:f>IF(COUNTIF(Settlement!$A$6:$A$55,A29)=1,IF(ISNUMBER(INDEX(Settlement!$J$6:$J$55,MATCH(A29,Settlement!$A$6:$A$55,0))),INDEX(Settlement!$J$6:$J$55,MATCH(A29,Settlement!$A$6:$A$55,0)),""),"")</x:f>
      </x:c>
      <x:c r="F29" s="41" t="str">
        <x:f>IF(COUNTIF(Settlement!$A$6:$A$55,A29)=1,IF(ISNUMBER(INDEX(Settlement!$L$6:$L$55,MATCH(A29,Settlement!$A$6:$A$55,0))),INDEX(Settlement!$L$6:$L$55,MATCH(A29,Settlement!$A$6:$A$55,0)),""),"")</x:f>
      </x:c>
      <x:c r="G29" s="41" t="str">
        <x:f>IF(A29="","",IF(ISNUMBER(Profile!$B$8),IF(Profile!$B$8&gt;0,Profile!$B$8,""),""))</x:f>
      </x:c>
      <x:c r="H29" s="41" t="str">
        <x:f>IF(COUNT(F29:G29)=2,IF(AND(COUNTIF(ExPost!$A$6:$A$55,A29)=1,COUNTIF(Settlement!$A$6:$A$55,A29)=1,COUNTIF(CarryForward!$A$6:$A$55,A29)=1,COUNTIFS(ExPost!$A$6:$A$55,A29,ExPost!$P$6:$P$55,"CALCULATED - EP")=1,COUNTIFS(Settlement!$A$6:$A$55,A29,Settlement!$M$6:$M$55,"CANDIDATE - NO AUTHORIZATION")=1,COUNTIFS(CarryForward!$A$6:$A$55,A29,CarryForward!$N$6:$N$55,"CALCULATED - REVIEW LEDGER")=1,F29&gt;=0,G29&gt;0,Profile!$B$7&lt;&gt;"",Profile!$B$10&lt;&gt;""),F29/G29,""),"")</x:f>
      </x:c>
      <x:c r="I29" s="36"/>
      <x:c r="J29" s="41" t="str">
        <x:f>IF(A29="","","NO AUTHORIZATION BY WORKBOOK")</x:f>
      </x:c>
    </x:row>
    <x:row r="30" ht="23" customHeight="1">
      <x:c r="A30" s="38"/>
      <x:c r="B30" s="41" t="str">
        <x:f>IF(COUNTIF(ExPost!$A$6:$A$55,A30)=1,IF(ISNUMBER(INDEX(ExPost!$I$6:$I$55,MATCH(A30,ExPost!$A$6:$A$55,0))),INDEX(ExPost!$I$6:$I$55,MATCH(A30,ExPost!$A$6:$A$55,0)),""),"")</x:f>
      </x:c>
      <x:c r="C30" s="41" t="str">
        <x:f>IF(COUNTIF(ExPost!$A$6:$A$55,A30)=1,IF(ISNUMBER(INDEX(ExPost!$L$6:$L$55,MATCH(A30,ExPost!$A$6:$A$55,0))),INDEX(ExPost!$L$6:$L$55,MATCH(A30,ExPost!$A$6:$A$55,0)),""),"")</x:f>
      </x:c>
      <x:c r="D30" s="41" t="str">
        <x:f>IF(COUNTIF(CarryForward!$A$6:$A$55,A30)=1,IF(ISNUMBER(INDEX(CarryForward!$J$6:$J$55,MATCH(A30,CarryForward!$A$6:$A$55,0))),INDEX(CarryForward!$J$6:$J$55,MATCH(A30,CarryForward!$A$6:$A$55,0)),""),"")</x:f>
      </x:c>
      <x:c r="E30" s="41" t="str">
        <x:f>IF(COUNTIF(Settlement!$A$6:$A$55,A30)=1,IF(ISNUMBER(INDEX(Settlement!$J$6:$J$55,MATCH(A30,Settlement!$A$6:$A$55,0))),INDEX(Settlement!$J$6:$J$55,MATCH(A30,Settlement!$A$6:$A$55,0)),""),"")</x:f>
      </x:c>
      <x:c r="F30" s="41" t="str">
        <x:f>IF(COUNTIF(Settlement!$A$6:$A$55,A30)=1,IF(ISNUMBER(INDEX(Settlement!$L$6:$L$55,MATCH(A30,Settlement!$A$6:$A$55,0))),INDEX(Settlement!$L$6:$L$55,MATCH(A30,Settlement!$A$6:$A$55,0)),""),"")</x:f>
      </x:c>
      <x:c r="G30" s="41" t="str">
        <x:f>IF(A30="","",IF(ISNUMBER(Profile!$B$8),IF(Profile!$B$8&gt;0,Profile!$B$8,""),""))</x:f>
      </x:c>
      <x:c r="H30" s="41" t="str">
        <x:f>IF(COUNT(F30:G30)=2,IF(AND(COUNTIF(ExPost!$A$6:$A$55,A30)=1,COUNTIF(Settlement!$A$6:$A$55,A30)=1,COUNTIF(CarryForward!$A$6:$A$55,A30)=1,COUNTIFS(ExPost!$A$6:$A$55,A30,ExPost!$P$6:$P$55,"CALCULATED - EP")=1,COUNTIFS(Settlement!$A$6:$A$55,A30,Settlement!$M$6:$M$55,"CANDIDATE - NO AUTHORIZATION")=1,COUNTIFS(CarryForward!$A$6:$A$55,A30,CarryForward!$N$6:$N$55,"CALCULATED - REVIEW LEDGER")=1,F30&gt;=0,G30&gt;0,Profile!$B$7&lt;&gt;"",Profile!$B$10&lt;&gt;""),F30/G30,""),"")</x:f>
      </x:c>
      <x:c r="I30" s="36"/>
      <x:c r="J30" s="41" t="str">
        <x:f>IF(A30="","","NO AUTHORIZATION BY WORKBOOK")</x:f>
      </x:c>
    </x:row>
    <x:row r="31" ht="23" customHeight="1">
      <x:c r="A31" s="38"/>
      <x:c r="B31" s="41" t="str">
        <x:f>IF(COUNTIF(ExPost!$A$6:$A$55,A31)=1,IF(ISNUMBER(INDEX(ExPost!$I$6:$I$55,MATCH(A31,ExPost!$A$6:$A$55,0))),INDEX(ExPost!$I$6:$I$55,MATCH(A31,ExPost!$A$6:$A$55,0)),""),"")</x:f>
      </x:c>
      <x:c r="C31" s="41" t="str">
        <x:f>IF(COUNTIF(ExPost!$A$6:$A$55,A31)=1,IF(ISNUMBER(INDEX(ExPost!$L$6:$L$55,MATCH(A31,ExPost!$A$6:$A$55,0))),INDEX(ExPost!$L$6:$L$55,MATCH(A31,ExPost!$A$6:$A$55,0)),""),"")</x:f>
      </x:c>
      <x:c r="D31" s="41" t="str">
        <x:f>IF(COUNTIF(CarryForward!$A$6:$A$55,A31)=1,IF(ISNUMBER(INDEX(CarryForward!$J$6:$J$55,MATCH(A31,CarryForward!$A$6:$A$55,0))),INDEX(CarryForward!$J$6:$J$55,MATCH(A31,CarryForward!$A$6:$A$55,0)),""),"")</x:f>
      </x:c>
      <x:c r="E31" s="41" t="str">
        <x:f>IF(COUNTIF(Settlement!$A$6:$A$55,A31)=1,IF(ISNUMBER(INDEX(Settlement!$J$6:$J$55,MATCH(A31,Settlement!$A$6:$A$55,0))),INDEX(Settlement!$J$6:$J$55,MATCH(A31,Settlement!$A$6:$A$55,0)),""),"")</x:f>
      </x:c>
      <x:c r="F31" s="41" t="str">
        <x:f>IF(COUNTIF(Settlement!$A$6:$A$55,A31)=1,IF(ISNUMBER(INDEX(Settlement!$L$6:$L$55,MATCH(A31,Settlement!$A$6:$A$55,0))),INDEX(Settlement!$L$6:$L$55,MATCH(A31,Settlement!$A$6:$A$55,0)),""),"")</x:f>
      </x:c>
      <x:c r="G31" s="41" t="str">
        <x:f>IF(A31="","",IF(ISNUMBER(Profile!$B$8),IF(Profile!$B$8&gt;0,Profile!$B$8,""),""))</x:f>
      </x:c>
      <x:c r="H31" s="41" t="str">
        <x:f>IF(COUNT(F31:G31)=2,IF(AND(COUNTIF(ExPost!$A$6:$A$55,A31)=1,COUNTIF(Settlement!$A$6:$A$55,A31)=1,COUNTIF(CarryForward!$A$6:$A$55,A31)=1,COUNTIFS(ExPost!$A$6:$A$55,A31,ExPost!$P$6:$P$55,"CALCULATED - EP")=1,COUNTIFS(Settlement!$A$6:$A$55,A31,Settlement!$M$6:$M$55,"CANDIDATE - NO AUTHORIZATION")=1,COUNTIFS(CarryForward!$A$6:$A$55,A31,CarryForward!$N$6:$N$55,"CALCULATED - REVIEW LEDGER")=1,F31&gt;=0,G31&gt;0,Profile!$B$7&lt;&gt;"",Profile!$B$10&lt;&gt;""),F31/G31,""),"")</x:f>
      </x:c>
      <x:c r="I31" s="36"/>
      <x:c r="J31" s="41" t="str">
        <x:f>IF(A31="","","NO AUTHORIZATION BY WORKBOOK")</x:f>
      </x:c>
    </x:row>
    <x:row r="32" ht="23" customHeight="1">
      <x:c r="A32" s="38"/>
      <x:c r="B32" s="41" t="str">
        <x:f>IF(COUNTIF(ExPost!$A$6:$A$55,A32)=1,IF(ISNUMBER(INDEX(ExPost!$I$6:$I$55,MATCH(A32,ExPost!$A$6:$A$55,0))),INDEX(ExPost!$I$6:$I$55,MATCH(A32,ExPost!$A$6:$A$55,0)),""),"")</x:f>
      </x:c>
      <x:c r="C32" s="41" t="str">
        <x:f>IF(COUNTIF(ExPost!$A$6:$A$55,A32)=1,IF(ISNUMBER(INDEX(ExPost!$L$6:$L$55,MATCH(A32,ExPost!$A$6:$A$55,0))),INDEX(ExPost!$L$6:$L$55,MATCH(A32,ExPost!$A$6:$A$55,0)),""),"")</x:f>
      </x:c>
      <x:c r="D32" s="41" t="str">
        <x:f>IF(COUNTIF(CarryForward!$A$6:$A$55,A32)=1,IF(ISNUMBER(INDEX(CarryForward!$J$6:$J$55,MATCH(A32,CarryForward!$A$6:$A$55,0))),INDEX(CarryForward!$J$6:$J$55,MATCH(A32,CarryForward!$A$6:$A$55,0)),""),"")</x:f>
      </x:c>
      <x:c r="E32" s="41" t="str">
        <x:f>IF(COUNTIF(Settlement!$A$6:$A$55,A32)=1,IF(ISNUMBER(INDEX(Settlement!$J$6:$J$55,MATCH(A32,Settlement!$A$6:$A$55,0))),INDEX(Settlement!$J$6:$J$55,MATCH(A32,Settlement!$A$6:$A$55,0)),""),"")</x:f>
      </x:c>
      <x:c r="F32" s="41" t="str">
        <x:f>IF(COUNTIF(Settlement!$A$6:$A$55,A32)=1,IF(ISNUMBER(INDEX(Settlement!$L$6:$L$55,MATCH(A32,Settlement!$A$6:$A$55,0))),INDEX(Settlement!$L$6:$L$55,MATCH(A32,Settlement!$A$6:$A$55,0)),""),"")</x:f>
      </x:c>
      <x:c r="G32" s="41" t="str">
        <x:f>IF(A32="","",IF(ISNUMBER(Profile!$B$8),IF(Profile!$B$8&gt;0,Profile!$B$8,""),""))</x:f>
      </x:c>
      <x:c r="H32" s="41" t="str">
        <x:f>IF(COUNT(F32:G32)=2,IF(AND(COUNTIF(ExPost!$A$6:$A$55,A32)=1,COUNTIF(Settlement!$A$6:$A$55,A32)=1,COUNTIF(CarryForward!$A$6:$A$55,A32)=1,COUNTIFS(ExPost!$A$6:$A$55,A32,ExPost!$P$6:$P$55,"CALCULATED - EP")=1,COUNTIFS(Settlement!$A$6:$A$55,A32,Settlement!$M$6:$M$55,"CANDIDATE - NO AUTHORIZATION")=1,COUNTIFS(CarryForward!$A$6:$A$55,A32,CarryForward!$N$6:$N$55,"CALCULATED - REVIEW LEDGER")=1,F32&gt;=0,G32&gt;0,Profile!$B$7&lt;&gt;"",Profile!$B$10&lt;&gt;""),F32/G32,""),"")</x:f>
      </x:c>
      <x:c r="I32" s="36"/>
      <x:c r="J32" s="41" t="str">
        <x:f>IF(A32="","","NO AUTHORIZATION BY WORKBOOK")</x:f>
      </x:c>
    </x:row>
    <x:row r="33" ht="23" customHeight="1">
      <x:c r="A33" s="38"/>
      <x:c r="B33" s="41" t="str">
        <x:f>IF(COUNTIF(ExPost!$A$6:$A$55,A33)=1,IF(ISNUMBER(INDEX(ExPost!$I$6:$I$55,MATCH(A33,ExPost!$A$6:$A$55,0))),INDEX(ExPost!$I$6:$I$55,MATCH(A33,ExPost!$A$6:$A$55,0)),""),"")</x:f>
      </x:c>
      <x:c r="C33" s="41" t="str">
        <x:f>IF(COUNTIF(ExPost!$A$6:$A$55,A33)=1,IF(ISNUMBER(INDEX(ExPost!$L$6:$L$55,MATCH(A33,ExPost!$A$6:$A$55,0))),INDEX(ExPost!$L$6:$L$55,MATCH(A33,ExPost!$A$6:$A$55,0)),""),"")</x:f>
      </x:c>
      <x:c r="D33" s="41" t="str">
        <x:f>IF(COUNTIF(CarryForward!$A$6:$A$55,A33)=1,IF(ISNUMBER(INDEX(CarryForward!$J$6:$J$55,MATCH(A33,CarryForward!$A$6:$A$55,0))),INDEX(CarryForward!$J$6:$J$55,MATCH(A33,CarryForward!$A$6:$A$55,0)),""),"")</x:f>
      </x:c>
      <x:c r="E33" s="41" t="str">
        <x:f>IF(COUNTIF(Settlement!$A$6:$A$55,A33)=1,IF(ISNUMBER(INDEX(Settlement!$J$6:$J$55,MATCH(A33,Settlement!$A$6:$A$55,0))),INDEX(Settlement!$J$6:$J$55,MATCH(A33,Settlement!$A$6:$A$55,0)),""),"")</x:f>
      </x:c>
      <x:c r="F33" s="41" t="str">
        <x:f>IF(COUNTIF(Settlement!$A$6:$A$55,A33)=1,IF(ISNUMBER(INDEX(Settlement!$L$6:$L$55,MATCH(A33,Settlement!$A$6:$A$55,0))),INDEX(Settlement!$L$6:$L$55,MATCH(A33,Settlement!$A$6:$A$55,0)),""),"")</x:f>
      </x:c>
      <x:c r="G33" s="41" t="str">
        <x:f>IF(A33="","",IF(ISNUMBER(Profile!$B$8),IF(Profile!$B$8&gt;0,Profile!$B$8,""),""))</x:f>
      </x:c>
      <x:c r="H33" s="41" t="str">
        <x:f>IF(COUNT(F33:G33)=2,IF(AND(COUNTIF(ExPost!$A$6:$A$55,A33)=1,COUNTIF(Settlement!$A$6:$A$55,A33)=1,COUNTIF(CarryForward!$A$6:$A$55,A33)=1,COUNTIFS(ExPost!$A$6:$A$55,A33,ExPost!$P$6:$P$55,"CALCULATED - EP")=1,COUNTIFS(Settlement!$A$6:$A$55,A33,Settlement!$M$6:$M$55,"CANDIDATE - NO AUTHORIZATION")=1,COUNTIFS(CarryForward!$A$6:$A$55,A33,CarryForward!$N$6:$N$55,"CALCULATED - REVIEW LEDGER")=1,F33&gt;=0,G33&gt;0,Profile!$B$7&lt;&gt;"",Profile!$B$10&lt;&gt;""),F33/G33,""),"")</x:f>
      </x:c>
      <x:c r="I33" s="36"/>
      <x:c r="J33" s="41" t="str">
        <x:f>IF(A33="","","NO AUTHORIZATION BY WORKBOOK")</x:f>
      </x:c>
    </x:row>
    <x:row r="34" ht="23" customHeight="1">
      <x:c r="A34" s="38"/>
      <x:c r="B34" s="41" t="str">
        <x:f>IF(COUNTIF(ExPost!$A$6:$A$55,A34)=1,IF(ISNUMBER(INDEX(ExPost!$I$6:$I$55,MATCH(A34,ExPost!$A$6:$A$55,0))),INDEX(ExPost!$I$6:$I$55,MATCH(A34,ExPost!$A$6:$A$55,0)),""),"")</x:f>
      </x:c>
      <x:c r="C34" s="41" t="str">
        <x:f>IF(COUNTIF(ExPost!$A$6:$A$55,A34)=1,IF(ISNUMBER(INDEX(ExPost!$L$6:$L$55,MATCH(A34,ExPost!$A$6:$A$55,0))),INDEX(ExPost!$L$6:$L$55,MATCH(A34,ExPost!$A$6:$A$55,0)),""),"")</x:f>
      </x:c>
      <x:c r="D34" s="41" t="str">
        <x:f>IF(COUNTIF(CarryForward!$A$6:$A$55,A34)=1,IF(ISNUMBER(INDEX(CarryForward!$J$6:$J$55,MATCH(A34,CarryForward!$A$6:$A$55,0))),INDEX(CarryForward!$J$6:$J$55,MATCH(A34,CarryForward!$A$6:$A$55,0)),""),"")</x:f>
      </x:c>
      <x:c r="E34" s="41" t="str">
        <x:f>IF(COUNTIF(Settlement!$A$6:$A$55,A34)=1,IF(ISNUMBER(INDEX(Settlement!$J$6:$J$55,MATCH(A34,Settlement!$A$6:$A$55,0))),INDEX(Settlement!$J$6:$J$55,MATCH(A34,Settlement!$A$6:$A$55,0)),""),"")</x:f>
      </x:c>
      <x:c r="F34" s="41" t="str">
        <x:f>IF(COUNTIF(Settlement!$A$6:$A$55,A34)=1,IF(ISNUMBER(INDEX(Settlement!$L$6:$L$55,MATCH(A34,Settlement!$A$6:$A$55,0))),INDEX(Settlement!$L$6:$L$55,MATCH(A34,Settlement!$A$6:$A$55,0)),""),"")</x:f>
      </x:c>
      <x:c r="G34" s="41" t="str">
        <x:f>IF(A34="","",IF(ISNUMBER(Profile!$B$8),IF(Profile!$B$8&gt;0,Profile!$B$8,""),""))</x:f>
      </x:c>
      <x:c r="H34" s="41" t="str">
        <x:f>IF(COUNT(F34:G34)=2,IF(AND(COUNTIF(ExPost!$A$6:$A$55,A34)=1,COUNTIF(Settlement!$A$6:$A$55,A34)=1,COUNTIF(CarryForward!$A$6:$A$55,A34)=1,COUNTIFS(ExPost!$A$6:$A$55,A34,ExPost!$P$6:$P$55,"CALCULATED - EP")=1,COUNTIFS(Settlement!$A$6:$A$55,A34,Settlement!$M$6:$M$55,"CANDIDATE - NO AUTHORIZATION")=1,COUNTIFS(CarryForward!$A$6:$A$55,A34,CarryForward!$N$6:$N$55,"CALCULATED - REVIEW LEDGER")=1,F34&gt;=0,G34&gt;0,Profile!$B$7&lt;&gt;"",Profile!$B$10&lt;&gt;""),F34/G34,""),"")</x:f>
      </x:c>
      <x:c r="I34" s="36"/>
      <x:c r="J34" s="41" t="str">
        <x:f>IF(A34="","","NO AUTHORIZATION BY WORKBOOK")</x:f>
      </x:c>
    </x:row>
    <x:row r="35" ht="23" customHeight="1">
      <x:c r="A35" s="38"/>
      <x:c r="B35" s="41" t="str">
        <x:f>IF(COUNTIF(ExPost!$A$6:$A$55,A35)=1,IF(ISNUMBER(INDEX(ExPost!$I$6:$I$55,MATCH(A35,ExPost!$A$6:$A$55,0))),INDEX(ExPost!$I$6:$I$55,MATCH(A35,ExPost!$A$6:$A$55,0)),""),"")</x:f>
      </x:c>
      <x:c r="C35" s="41" t="str">
        <x:f>IF(COUNTIF(ExPost!$A$6:$A$55,A35)=1,IF(ISNUMBER(INDEX(ExPost!$L$6:$L$55,MATCH(A35,ExPost!$A$6:$A$55,0))),INDEX(ExPost!$L$6:$L$55,MATCH(A35,ExPost!$A$6:$A$55,0)),""),"")</x:f>
      </x:c>
      <x:c r="D35" s="41" t="str">
        <x:f>IF(COUNTIF(CarryForward!$A$6:$A$55,A35)=1,IF(ISNUMBER(INDEX(CarryForward!$J$6:$J$55,MATCH(A35,CarryForward!$A$6:$A$55,0))),INDEX(CarryForward!$J$6:$J$55,MATCH(A35,CarryForward!$A$6:$A$55,0)),""),"")</x:f>
      </x:c>
      <x:c r="E35" s="41" t="str">
        <x:f>IF(COUNTIF(Settlement!$A$6:$A$55,A35)=1,IF(ISNUMBER(INDEX(Settlement!$J$6:$J$55,MATCH(A35,Settlement!$A$6:$A$55,0))),INDEX(Settlement!$J$6:$J$55,MATCH(A35,Settlement!$A$6:$A$55,0)),""),"")</x:f>
      </x:c>
      <x:c r="F35" s="41" t="str">
        <x:f>IF(COUNTIF(Settlement!$A$6:$A$55,A35)=1,IF(ISNUMBER(INDEX(Settlement!$L$6:$L$55,MATCH(A35,Settlement!$A$6:$A$55,0))),INDEX(Settlement!$L$6:$L$55,MATCH(A35,Settlement!$A$6:$A$55,0)),""),"")</x:f>
      </x:c>
      <x:c r="G35" s="41" t="str">
        <x:f>IF(A35="","",IF(ISNUMBER(Profile!$B$8),IF(Profile!$B$8&gt;0,Profile!$B$8,""),""))</x:f>
      </x:c>
      <x:c r="H35" s="41" t="str">
        <x:f>IF(COUNT(F35:G35)=2,IF(AND(COUNTIF(ExPost!$A$6:$A$55,A35)=1,COUNTIF(Settlement!$A$6:$A$55,A35)=1,COUNTIF(CarryForward!$A$6:$A$55,A35)=1,COUNTIFS(ExPost!$A$6:$A$55,A35,ExPost!$P$6:$P$55,"CALCULATED - EP")=1,COUNTIFS(Settlement!$A$6:$A$55,A35,Settlement!$M$6:$M$55,"CANDIDATE - NO AUTHORIZATION")=1,COUNTIFS(CarryForward!$A$6:$A$55,A35,CarryForward!$N$6:$N$55,"CALCULATED - REVIEW LEDGER")=1,F35&gt;=0,G35&gt;0,Profile!$B$7&lt;&gt;"",Profile!$B$10&lt;&gt;""),F35/G35,""),"")</x:f>
      </x:c>
      <x:c r="I35" s="36"/>
      <x:c r="J35" s="41" t="str">
        <x:f>IF(A35="","","NO AUTHORIZATION BY WORKBOOK")</x:f>
      </x:c>
    </x:row>
    <x:row r="36" ht="23" customHeight="1">
      <x:c r="A36" s="38"/>
      <x:c r="B36" s="41" t="str">
        <x:f>IF(COUNTIF(ExPost!$A$6:$A$55,A36)=1,IF(ISNUMBER(INDEX(ExPost!$I$6:$I$55,MATCH(A36,ExPost!$A$6:$A$55,0))),INDEX(ExPost!$I$6:$I$55,MATCH(A36,ExPost!$A$6:$A$55,0)),""),"")</x:f>
      </x:c>
      <x:c r="C36" s="41" t="str">
        <x:f>IF(COUNTIF(ExPost!$A$6:$A$55,A36)=1,IF(ISNUMBER(INDEX(ExPost!$L$6:$L$55,MATCH(A36,ExPost!$A$6:$A$55,0))),INDEX(ExPost!$L$6:$L$55,MATCH(A36,ExPost!$A$6:$A$55,0)),""),"")</x:f>
      </x:c>
      <x:c r="D36" s="41" t="str">
        <x:f>IF(COUNTIF(CarryForward!$A$6:$A$55,A36)=1,IF(ISNUMBER(INDEX(CarryForward!$J$6:$J$55,MATCH(A36,CarryForward!$A$6:$A$55,0))),INDEX(CarryForward!$J$6:$J$55,MATCH(A36,CarryForward!$A$6:$A$55,0)),""),"")</x:f>
      </x:c>
      <x:c r="E36" s="41" t="str">
        <x:f>IF(COUNTIF(Settlement!$A$6:$A$55,A36)=1,IF(ISNUMBER(INDEX(Settlement!$J$6:$J$55,MATCH(A36,Settlement!$A$6:$A$55,0))),INDEX(Settlement!$J$6:$J$55,MATCH(A36,Settlement!$A$6:$A$55,0)),""),"")</x:f>
      </x:c>
      <x:c r="F36" s="41" t="str">
        <x:f>IF(COUNTIF(Settlement!$A$6:$A$55,A36)=1,IF(ISNUMBER(INDEX(Settlement!$L$6:$L$55,MATCH(A36,Settlement!$A$6:$A$55,0))),INDEX(Settlement!$L$6:$L$55,MATCH(A36,Settlement!$A$6:$A$55,0)),""),"")</x:f>
      </x:c>
      <x:c r="G36" s="41" t="str">
        <x:f>IF(A36="","",IF(ISNUMBER(Profile!$B$8),IF(Profile!$B$8&gt;0,Profile!$B$8,""),""))</x:f>
      </x:c>
      <x:c r="H36" s="41" t="str">
        <x:f>IF(COUNT(F36:G36)=2,IF(AND(COUNTIF(ExPost!$A$6:$A$55,A36)=1,COUNTIF(Settlement!$A$6:$A$55,A36)=1,COUNTIF(CarryForward!$A$6:$A$55,A36)=1,COUNTIFS(ExPost!$A$6:$A$55,A36,ExPost!$P$6:$P$55,"CALCULATED - EP")=1,COUNTIFS(Settlement!$A$6:$A$55,A36,Settlement!$M$6:$M$55,"CANDIDATE - NO AUTHORIZATION")=1,COUNTIFS(CarryForward!$A$6:$A$55,A36,CarryForward!$N$6:$N$55,"CALCULATED - REVIEW LEDGER")=1,F36&gt;=0,G36&gt;0,Profile!$B$7&lt;&gt;"",Profile!$B$10&lt;&gt;""),F36/G36,""),"")</x:f>
      </x:c>
      <x:c r="I36" s="36"/>
      <x:c r="J36" s="41" t="str">
        <x:f>IF(A36="","","NO AUTHORIZATION BY WORKBOOK")</x:f>
      </x:c>
    </x:row>
    <x:row r="37" ht="23" customHeight="1">
      <x:c r="A37" s="38"/>
      <x:c r="B37" s="41" t="str">
        <x:f>IF(COUNTIF(ExPost!$A$6:$A$55,A37)=1,IF(ISNUMBER(INDEX(ExPost!$I$6:$I$55,MATCH(A37,ExPost!$A$6:$A$55,0))),INDEX(ExPost!$I$6:$I$55,MATCH(A37,ExPost!$A$6:$A$55,0)),""),"")</x:f>
      </x:c>
      <x:c r="C37" s="41" t="str">
        <x:f>IF(COUNTIF(ExPost!$A$6:$A$55,A37)=1,IF(ISNUMBER(INDEX(ExPost!$L$6:$L$55,MATCH(A37,ExPost!$A$6:$A$55,0))),INDEX(ExPost!$L$6:$L$55,MATCH(A37,ExPost!$A$6:$A$55,0)),""),"")</x:f>
      </x:c>
      <x:c r="D37" s="41" t="str">
        <x:f>IF(COUNTIF(CarryForward!$A$6:$A$55,A37)=1,IF(ISNUMBER(INDEX(CarryForward!$J$6:$J$55,MATCH(A37,CarryForward!$A$6:$A$55,0))),INDEX(CarryForward!$J$6:$J$55,MATCH(A37,CarryForward!$A$6:$A$55,0)),""),"")</x:f>
      </x:c>
      <x:c r="E37" s="41" t="str">
        <x:f>IF(COUNTIF(Settlement!$A$6:$A$55,A37)=1,IF(ISNUMBER(INDEX(Settlement!$J$6:$J$55,MATCH(A37,Settlement!$A$6:$A$55,0))),INDEX(Settlement!$J$6:$J$55,MATCH(A37,Settlement!$A$6:$A$55,0)),""),"")</x:f>
      </x:c>
      <x:c r="F37" s="41" t="str">
        <x:f>IF(COUNTIF(Settlement!$A$6:$A$55,A37)=1,IF(ISNUMBER(INDEX(Settlement!$L$6:$L$55,MATCH(A37,Settlement!$A$6:$A$55,0))),INDEX(Settlement!$L$6:$L$55,MATCH(A37,Settlement!$A$6:$A$55,0)),""),"")</x:f>
      </x:c>
      <x:c r="G37" s="41" t="str">
        <x:f>IF(A37="","",IF(ISNUMBER(Profile!$B$8),IF(Profile!$B$8&gt;0,Profile!$B$8,""),""))</x:f>
      </x:c>
      <x:c r="H37" s="41" t="str">
        <x:f>IF(COUNT(F37:G37)=2,IF(AND(COUNTIF(ExPost!$A$6:$A$55,A37)=1,COUNTIF(Settlement!$A$6:$A$55,A37)=1,COUNTIF(CarryForward!$A$6:$A$55,A37)=1,COUNTIFS(ExPost!$A$6:$A$55,A37,ExPost!$P$6:$P$55,"CALCULATED - EP")=1,COUNTIFS(Settlement!$A$6:$A$55,A37,Settlement!$M$6:$M$55,"CANDIDATE - NO AUTHORIZATION")=1,COUNTIFS(CarryForward!$A$6:$A$55,A37,CarryForward!$N$6:$N$55,"CALCULATED - REVIEW LEDGER")=1,F37&gt;=0,G37&gt;0,Profile!$B$7&lt;&gt;"",Profile!$B$10&lt;&gt;""),F37/G37,""),"")</x:f>
      </x:c>
      <x:c r="I37" s="36"/>
      <x:c r="J37" s="41" t="str">
        <x:f>IF(A37="","","NO AUTHORIZATION BY WORKBOOK")</x:f>
      </x:c>
    </x:row>
    <x:row r="38" ht="23" customHeight="1">
      <x:c r="A38" s="38"/>
      <x:c r="B38" s="41" t="str">
        <x:f>IF(COUNTIF(ExPost!$A$6:$A$55,A38)=1,IF(ISNUMBER(INDEX(ExPost!$I$6:$I$55,MATCH(A38,ExPost!$A$6:$A$55,0))),INDEX(ExPost!$I$6:$I$55,MATCH(A38,ExPost!$A$6:$A$55,0)),""),"")</x:f>
      </x:c>
      <x:c r="C38" s="41" t="str">
        <x:f>IF(COUNTIF(ExPost!$A$6:$A$55,A38)=1,IF(ISNUMBER(INDEX(ExPost!$L$6:$L$55,MATCH(A38,ExPost!$A$6:$A$55,0))),INDEX(ExPost!$L$6:$L$55,MATCH(A38,ExPost!$A$6:$A$55,0)),""),"")</x:f>
      </x:c>
      <x:c r="D38" s="41" t="str">
        <x:f>IF(COUNTIF(CarryForward!$A$6:$A$55,A38)=1,IF(ISNUMBER(INDEX(CarryForward!$J$6:$J$55,MATCH(A38,CarryForward!$A$6:$A$55,0))),INDEX(CarryForward!$J$6:$J$55,MATCH(A38,CarryForward!$A$6:$A$55,0)),""),"")</x:f>
      </x:c>
      <x:c r="E38" s="41" t="str">
        <x:f>IF(COUNTIF(Settlement!$A$6:$A$55,A38)=1,IF(ISNUMBER(INDEX(Settlement!$J$6:$J$55,MATCH(A38,Settlement!$A$6:$A$55,0))),INDEX(Settlement!$J$6:$J$55,MATCH(A38,Settlement!$A$6:$A$55,0)),""),"")</x:f>
      </x:c>
      <x:c r="F38" s="41" t="str">
        <x:f>IF(COUNTIF(Settlement!$A$6:$A$55,A38)=1,IF(ISNUMBER(INDEX(Settlement!$L$6:$L$55,MATCH(A38,Settlement!$A$6:$A$55,0))),INDEX(Settlement!$L$6:$L$55,MATCH(A38,Settlement!$A$6:$A$55,0)),""),"")</x:f>
      </x:c>
      <x:c r="G38" s="41" t="str">
        <x:f>IF(A38="","",IF(ISNUMBER(Profile!$B$8),IF(Profile!$B$8&gt;0,Profile!$B$8,""),""))</x:f>
      </x:c>
      <x:c r="H38" s="41" t="str">
        <x:f>IF(COUNT(F38:G38)=2,IF(AND(COUNTIF(ExPost!$A$6:$A$55,A38)=1,COUNTIF(Settlement!$A$6:$A$55,A38)=1,COUNTIF(CarryForward!$A$6:$A$55,A38)=1,COUNTIFS(ExPost!$A$6:$A$55,A38,ExPost!$P$6:$P$55,"CALCULATED - EP")=1,COUNTIFS(Settlement!$A$6:$A$55,A38,Settlement!$M$6:$M$55,"CANDIDATE - NO AUTHORIZATION")=1,COUNTIFS(CarryForward!$A$6:$A$55,A38,CarryForward!$N$6:$N$55,"CALCULATED - REVIEW LEDGER")=1,F38&gt;=0,G38&gt;0,Profile!$B$7&lt;&gt;"",Profile!$B$10&lt;&gt;""),F38/G38,""),"")</x:f>
      </x:c>
      <x:c r="I38" s="36"/>
      <x:c r="J38" s="41" t="str">
        <x:f>IF(A38="","","NO AUTHORIZATION BY WORKBOOK")</x:f>
      </x:c>
    </x:row>
    <x:row r="39" ht="23" customHeight="1">
      <x:c r="A39" s="38"/>
      <x:c r="B39" s="41" t="str">
        <x:f>IF(COUNTIF(ExPost!$A$6:$A$55,A39)=1,IF(ISNUMBER(INDEX(ExPost!$I$6:$I$55,MATCH(A39,ExPost!$A$6:$A$55,0))),INDEX(ExPost!$I$6:$I$55,MATCH(A39,ExPost!$A$6:$A$55,0)),""),"")</x:f>
      </x:c>
      <x:c r="C39" s="41" t="str">
        <x:f>IF(COUNTIF(ExPost!$A$6:$A$55,A39)=1,IF(ISNUMBER(INDEX(ExPost!$L$6:$L$55,MATCH(A39,ExPost!$A$6:$A$55,0))),INDEX(ExPost!$L$6:$L$55,MATCH(A39,ExPost!$A$6:$A$55,0)),""),"")</x:f>
      </x:c>
      <x:c r="D39" s="41" t="str">
        <x:f>IF(COUNTIF(CarryForward!$A$6:$A$55,A39)=1,IF(ISNUMBER(INDEX(CarryForward!$J$6:$J$55,MATCH(A39,CarryForward!$A$6:$A$55,0))),INDEX(CarryForward!$J$6:$J$55,MATCH(A39,CarryForward!$A$6:$A$55,0)),""),"")</x:f>
      </x:c>
      <x:c r="E39" s="41" t="str">
        <x:f>IF(COUNTIF(Settlement!$A$6:$A$55,A39)=1,IF(ISNUMBER(INDEX(Settlement!$J$6:$J$55,MATCH(A39,Settlement!$A$6:$A$55,0))),INDEX(Settlement!$J$6:$J$55,MATCH(A39,Settlement!$A$6:$A$55,0)),""),"")</x:f>
      </x:c>
      <x:c r="F39" s="41" t="str">
        <x:f>IF(COUNTIF(Settlement!$A$6:$A$55,A39)=1,IF(ISNUMBER(INDEX(Settlement!$L$6:$L$55,MATCH(A39,Settlement!$A$6:$A$55,0))),INDEX(Settlement!$L$6:$L$55,MATCH(A39,Settlement!$A$6:$A$55,0)),""),"")</x:f>
      </x:c>
      <x:c r="G39" s="41" t="str">
        <x:f>IF(A39="","",IF(ISNUMBER(Profile!$B$8),IF(Profile!$B$8&gt;0,Profile!$B$8,""),""))</x:f>
      </x:c>
      <x:c r="H39" s="41" t="str">
        <x:f>IF(COUNT(F39:G39)=2,IF(AND(COUNTIF(ExPost!$A$6:$A$55,A39)=1,COUNTIF(Settlement!$A$6:$A$55,A39)=1,COUNTIF(CarryForward!$A$6:$A$55,A39)=1,COUNTIFS(ExPost!$A$6:$A$55,A39,ExPost!$P$6:$P$55,"CALCULATED - EP")=1,COUNTIFS(Settlement!$A$6:$A$55,A39,Settlement!$M$6:$M$55,"CANDIDATE - NO AUTHORIZATION")=1,COUNTIFS(CarryForward!$A$6:$A$55,A39,CarryForward!$N$6:$N$55,"CALCULATED - REVIEW LEDGER")=1,F39&gt;=0,G39&gt;0,Profile!$B$7&lt;&gt;"",Profile!$B$10&lt;&gt;""),F39/G39,""),"")</x:f>
      </x:c>
      <x:c r="I39" s="36"/>
      <x:c r="J39" s="41" t="str">
        <x:f>IF(A39="","","NO AUTHORIZATION BY WORKBOOK")</x:f>
      </x:c>
    </x:row>
    <x:row r="40" ht="23" customHeight="1">
      <x:c r="A40" s="38"/>
      <x:c r="B40" s="41" t="str">
        <x:f>IF(COUNTIF(ExPost!$A$6:$A$55,A40)=1,IF(ISNUMBER(INDEX(ExPost!$I$6:$I$55,MATCH(A40,ExPost!$A$6:$A$55,0))),INDEX(ExPost!$I$6:$I$55,MATCH(A40,ExPost!$A$6:$A$55,0)),""),"")</x:f>
      </x:c>
      <x:c r="C40" s="41" t="str">
        <x:f>IF(COUNTIF(ExPost!$A$6:$A$55,A40)=1,IF(ISNUMBER(INDEX(ExPost!$L$6:$L$55,MATCH(A40,ExPost!$A$6:$A$55,0))),INDEX(ExPost!$L$6:$L$55,MATCH(A40,ExPost!$A$6:$A$55,0)),""),"")</x:f>
      </x:c>
      <x:c r="D40" s="41" t="str">
        <x:f>IF(COUNTIF(CarryForward!$A$6:$A$55,A40)=1,IF(ISNUMBER(INDEX(CarryForward!$J$6:$J$55,MATCH(A40,CarryForward!$A$6:$A$55,0))),INDEX(CarryForward!$J$6:$J$55,MATCH(A40,CarryForward!$A$6:$A$55,0)),""),"")</x:f>
      </x:c>
      <x:c r="E40" s="41" t="str">
        <x:f>IF(COUNTIF(Settlement!$A$6:$A$55,A40)=1,IF(ISNUMBER(INDEX(Settlement!$J$6:$J$55,MATCH(A40,Settlement!$A$6:$A$55,0))),INDEX(Settlement!$J$6:$J$55,MATCH(A40,Settlement!$A$6:$A$55,0)),""),"")</x:f>
      </x:c>
      <x:c r="F40" s="41" t="str">
        <x:f>IF(COUNTIF(Settlement!$A$6:$A$55,A40)=1,IF(ISNUMBER(INDEX(Settlement!$L$6:$L$55,MATCH(A40,Settlement!$A$6:$A$55,0))),INDEX(Settlement!$L$6:$L$55,MATCH(A40,Settlement!$A$6:$A$55,0)),""),"")</x:f>
      </x:c>
      <x:c r="G40" s="41" t="str">
        <x:f>IF(A40="","",IF(ISNUMBER(Profile!$B$8),IF(Profile!$B$8&gt;0,Profile!$B$8,""),""))</x:f>
      </x:c>
      <x:c r="H40" s="41" t="str">
        <x:f>IF(COUNT(F40:G40)=2,IF(AND(COUNTIF(ExPost!$A$6:$A$55,A40)=1,COUNTIF(Settlement!$A$6:$A$55,A40)=1,COUNTIF(CarryForward!$A$6:$A$55,A40)=1,COUNTIFS(ExPost!$A$6:$A$55,A40,ExPost!$P$6:$P$55,"CALCULATED - EP")=1,COUNTIFS(Settlement!$A$6:$A$55,A40,Settlement!$M$6:$M$55,"CANDIDATE - NO AUTHORIZATION")=1,COUNTIFS(CarryForward!$A$6:$A$55,A40,CarryForward!$N$6:$N$55,"CALCULATED - REVIEW LEDGER")=1,F40&gt;=0,G40&gt;0,Profile!$B$7&lt;&gt;"",Profile!$B$10&lt;&gt;""),F40/G40,""),"")</x:f>
      </x:c>
      <x:c r="I40" s="36"/>
      <x:c r="J40" s="41" t="str">
        <x:f>IF(A40="","","NO AUTHORIZATION BY WORKBOOK")</x:f>
      </x:c>
    </x:row>
    <x:row r="41" ht="23" customHeight="1">
      <x:c r="A41" s="38"/>
      <x:c r="B41" s="41" t="str">
        <x:f>IF(COUNTIF(ExPost!$A$6:$A$55,A41)=1,IF(ISNUMBER(INDEX(ExPost!$I$6:$I$55,MATCH(A41,ExPost!$A$6:$A$55,0))),INDEX(ExPost!$I$6:$I$55,MATCH(A41,ExPost!$A$6:$A$55,0)),""),"")</x:f>
      </x:c>
      <x:c r="C41" s="41" t="str">
        <x:f>IF(COUNTIF(ExPost!$A$6:$A$55,A41)=1,IF(ISNUMBER(INDEX(ExPost!$L$6:$L$55,MATCH(A41,ExPost!$A$6:$A$55,0))),INDEX(ExPost!$L$6:$L$55,MATCH(A41,ExPost!$A$6:$A$55,0)),""),"")</x:f>
      </x:c>
      <x:c r="D41" s="41" t="str">
        <x:f>IF(COUNTIF(CarryForward!$A$6:$A$55,A41)=1,IF(ISNUMBER(INDEX(CarryForward!$J$6:$J$55,MATCH(A41,CarryForward!$A$6:$A$55,0))),INDEX(CarryForward!$J$6:$J$55,MATCH(A41,CarryForward!$A$6:$A$55,0)),""),"")</x:f>
      </x:c>
      <x:c r="E41" s="41" t="str">
        <x:f>IF(COUNTIF(Settlement!$A$6:$A$55,A41)=1,IF(ISNUMBER(INDEX(Settlement!$J$6:$J$55,MATCH(A41,Settlement!$A$6:$A$55,0))),INDEX(Settlement!$J$6:$J$55,MATCH(A41,Settlement!$A$6:$A$55,0)),""),"")</x:f>
      </x:c>
      <x:c r="F41" s="41" t="str">
        <x:f>IF(COUNTIF(Settlement!$A$6:$A$55,A41)=1,IF(ISNUMBER(INDEX(Settlement!$L$6:$L$55,MATCH(A41,Settlement!$A$6:$A$55,0))),INDEX(Settlement!$L$6:$L$55,MATCH(A41,Settlement!$A$6:$A$55,0)),""),"")</x:f>
      </x:c>
      <x:c r="G41" s="41" t="str">
        <x:f>IF(A41="","",IF(ISNUMBER(Profile!$B$8),IF(Profile!$B$8&gt;0,Profile!$B$8,""),""))</x:f>
      </x:c>
      <x:c r="H41" s="41" t="str">
        <x:f>IF(COUNT(F41:G41)=2,IF(AND(COUNTIF(ExPost!$A$6:$A$55,A41)=1,COUNTIF(Settlement!$A$6:$A$55,A41)=1,COUNTIF(CarryForward!$A$6:$A$55,A41)=1,COUNTIFS(ExPost!$A$6:$A$55,A41,ExPost!$P$6:$P$55,"CALCULATED - EP")=1,COUNTIFS(Settlement!$A$6:$A$55,A41,Settlement!$M$6:$M$55,"CANDIDATE - NO AUTHORIZATION")=1,COUNTIFS(CarryForward!$A$6:$A$55,A41,CarryForward!$N$6:$N$55,"CALCULATED - REVIEW LEDGER")=1,F41&gt;=0,G41&gt;0,Profile!$B$7&lt;&gt;"",Profile!$B$10&lt;&gt;""),F41/G41,""),"")</x:f>
      </x:c>
      <x:c r="I41" s="36"/>
      <x:c r="J41" s="41" t="str">
        <x:f>IF(A41="","","NO AUTHORIZATION BY WORKBOOK")</x:f>
      </x:c>
    </x:row>
    <x:row r="42" ht="23" customHeight="1">
      <x:c r="A42" s="38"/>
      <x:c r="B42" s="41" t="str">
        <x:f>IF(COUNTIF(ExPost!$A$6:$A$55,A42)=1,IF(ISNUMBER(INDEX(ExPost!$I$6:$I$55,MATCH(A42,ExPost!$A$6:$A$55,0))),INDEX(ExPost!$I$6:$I$55,MATCH(A42,ExPost!$A$6:$A$55,0)),""),"")</x:f>
      </x:c>
      <x:c r="C42" s="41" t="str">
        <x:f>IF(COUNTIF(ExPost!$A$6:$A$55,A42)=1,IF(ISNUMBER(INDEX(ExPost!$L$6:$L$55,MATCH(A42,ExPost!$A$6:$A$55,0))),INDEX(ExPost!$L$6:$L$55,MATCH(A42,ExPost!$A$6:$A$55,0)),""),"")</x:f>
      </x:c>
      <x:c r="D42" s="41" t="str">
        <x:f>IF(COUNTIF(CarryForward!$A$6:$A$55,A42)=1,IF(ISNUMBER(INDEX(CarryForward!$J$6:$J$55,MATCH(A42,CarryForward!$A$6:$A$55,0))),INDEX(CarryForward!$J$6:$J$55,MATCH(A42,CarryForward!$A$6:$A$55,0)),""),"")</x:f>
      </x:c>
      <x:c r="E42" s="41" t="str">
        <x:f>IF(COUNTIF(Settlement!$A$6:$A$55,A42)=1,IF(ISNUMBER(INDEX(Settlement!$J$6:$J$55,MATCH(A42,Settlement!$A$6:$A$55,0))),INDEX(Settlement!$J$6:$J$55,MATCH(A42,Settlement!$A$6:$A$55,0)),""),"")</x:f>
      </x:c>
      <x:c r="F42" s="41" t="str">
        <x:f>IF(COUNTIF(Settlement!$A$6:$A$55,A42)=1,IF(ISNUMBER(INDEX(Settlement!$L$6:$L$55,MATCH(A42,Settlement!$A$6:$A$55,0))),INDEX(Settlement!$L$6:$L$55,MATCH(A42,Settlement!$A$6:$A$55,0)),""),"")</x:f>
      </x:c>
      <x:c r="G42" s="41" t="str">
        <x:f>IF(A42="","",IF(ISNUMBER(Profile!$B$8),IF(Profile!$B$8&gt;0,Profile!$B$8,""),""))</x:f>
      </x:c>
      <x:c r="H42" s="41" t="str">
        <x:f>IF(COUNT(F42:G42)=2,IF(AND(COUNTIF(ExPost!$A$6:$A$55,A42)=1,COUNTIF(Settlement!$A$6:$A$55,A42)=1,COUNTIF(CarryForward!$A$6:$A$55,A42)=1,COUNTIFS(ExPost!$A$6:$A$55,A42,ExPost!$P$6:$P$55,"CALCULATED - EP")=1,COUNTIFS(Settlement!$A$6:$A$55,A42,Settlement!$M$6:$M$55,"CANDIDATE - NO AUTHORIZATION")=1,COUNTIFS(CarryForward!$A$6:$A$55,A42,CarryForward!$N$6:$N$55,"CALCULATED - REVIEW LEDGER")=1,F42&gt;=0,G42&gt;0,Profile!$B$7&lt;&gt;"",Profile!$B$10&lt;&gt;""),F42/G42,""),"")</x:f>
      </x:c>
      <x:c r="I42" s="36"/>
      <x:c r="J42" s="41" t="str">
        <x:f>IF(A42="","","NO AUTHORIZATION BY WORKBOOK")</x:f>
      </x:c>
    </x:row>
    <x:row r="43" ht="23" customHeight="1">
      <x:c r="A43" s="38"/>
      <x:c r="B43" s="41" t="str">
        <x:f>IF(COUNTIF(ExPost!$A$6:$A$55,A43)=1,IF(ISNUMBER(INDEX(ExPost!$I$6:$I$55,MATCH(A43,ExPost!$A$6:$A$55,0))),INDEX(ExPost!$I$6:$I$55,MATCH(A43,ExPost!$A$6:$A$55,0)),""),"")</x:f>
      </x:c>
      <x:c r="C43" s="41" t="str">
        <x:f>IF(COUNTIF(ExPost!$A$6:$A$55,A43)=1,IF(ISNUMBER(INDEX(ExPost!$L$6:$L$55,MATCH(A43,ExPost!$A$6:$A$55,0))),INDEX(ExPost!$L$6:$L$55,MATCH(A43,ExPost!$A$6:$A$55,0)),""),"")</x:f>
      </x:c>
      <x:c r="D43" s="41" t="str">
        <x:f>IF(COUNTIF(CarryForward!$A$6:$A$55,A43)=1,IF(ISNUMBER(INDEX(CarryForward!$J$6:$J$55,MATCH(A43,CarryForward!$A$6:$A$55,0))),INDEX(CarryForward!$J$6:$J$55,MATCH(A43,CarryForward!$A$6:$A$55,0)),""),"")</x:f>
      </x:c>
      <x:c r="E43" s="41" t="str">
        <x:f>IF(COUNTIF(Settlement!$A$6:$A$55,A43)=1,IF(ISNUMBER(INDEX(Settlement!$J$6:$J$55,MATCH(A43,Settlement!$A$6:$A$55,0))),INDEX(Settlement!$J$6:$J$55,MATCH(A43,Settlement!$A$6:$A$55,0)),""),"")</x:f>
      </x:c>
      <x:c r="F43" s="41" t="str">
        <x:f>IF(COUNTIF(Settlement!$A$6:$A$55,A43)=1,IF(ISNUMBER(INDEX(Settlement!$L$6:$L$55,MATCH(A43,Settlement!$A$6:$A$55,0))),INDEX(Settlement!$L$6:$L$55,MATCH(A43,Settlement!$A$6:$A$55,0)),""),"")</x:f>
      </x:c>
      <x:c r="G43" s="41" t="str">
        <x:f>IF(A43="","",IF(ISNUMBER(Profile!$B$8),IF(Profile!$B$8&gt;0,Profile!$B$8,""),""))</x:f>
      </x:c>
      <x:c r="H43" s="41" t="str">
        <x:f>IF(COUNT(F43:G43)=2,IF(AND(COUNTIF(ExPost!$A$6:$A$55,A43)=1,COUNTIF(Settlement!$A$6:$A$55,A43)=1,COUNTIF(CarryForward!$A$6:$A$55,A43)=1,COUNTIFS(ExPost!$A$6:$A$55,A43,ExPost!$P$6:$P$55,"CALCULATED - EP")=1,COUNTIFS(Settlement!$A$6:$A$55,A43,Settlement!$M$6:$M$55,"CANDIDATE - NO AUTHORIZATION")=1,COUNTIFS(CarryForward!$A$6:$A$55,A43,CarryForward!$N$6:$N$55,"CALCULATED - REVIEW LEDGER")=1,F43&gt;=0,G43&gt;0,Profile!$B$7&lt;&gt;"",Profile!$B$10&lt;&gt;""),F43/G43,""),"")</x:f>
      </x:c>
      <x:c r="I43" s="36"/>
      <x:c r="J43" s="41" t="str">
        <x:f>IF(A43="","","NO AUTHORIZATION BY WORKBOOK")</x:f>
      </x:c>
    </x:row>
    <x:row r="44" ht="23" customHeight="1">
      <x:c r="A44" s="38"/>
      <x:c r="B44" s="41" t="str">
        <x:f>IF(COUNTIF(ExPost!$A$6:$A$55,A44)=1,IF(ISNUMBER(INDEX(ExPost!$I$6:$I$55,MATCH(A44,ExPost!$A$6:$A$55,0))),INDEX(ExPost!$I$6:$I$55,MATCH(A44,ExPost!$A$6:$A$55,0)),""),"")</x:f>
      </x:c>
      <x:c r="C44" s="41" t="str">
        <x:f>IF(COUNTIF(ExPost!$A$6:$A$55,A44)=1,IF(ISNUMBER(INDEX(ExPost!$L$6:$L$55,MATCH(A44,ExPost!$A$6:$A$55,0))),INDEX(ExPost!$L$6:$L$55,MATCH(A44,ExPost!$A$6:$A$55,0)),""),"")</x:f>
      </x:c>
      <x:c r="D44" s="41" t="str">
        <x:f>IF(COUNTIF(CarryForward!$A$6:$A$55,A44)=1,IF(ISNUMBER(INDEX(CarryForward!$J$6:$J$55,MATCH(A44,CarryForward!$A$6:$A$55,0))),INDEX(CarryForward!$J$6:$J$55,MATCH(A44,CarryForward!$A$6:$A$55,0)),""),"")</x:f>
      </x:c>
      <x:c r="E44" s="41" t="str">
        <x:f>IF(COUNTIF(Settlement!$A$6:$A$55,A44)=1,IF(ISNUMBER(INDEX(Settlement!$J$6:$J$55,MATCH(A44,Settlement!$A$6:$A$55,0))),INDEX(Settlement!$J$6:$J$55,MATCH(A44,Settlement!$A$6:$A$55,0)),""),"")</x:f>
      </x:c>
      <x:c r="F44" s="41" t="str">
        <x:f>IF(COUNTIF(Settlement!$A$6:$A$55,A44)=1,IF(ISNUMBER(INDEX(Settlement!$L$6:$L$55,MATCH(A44,Settlement!$A$6:$A$55,0))),INDEX(Settlement!$L$6:$L$55,MATCH(A44,Settlement!$A$6:$A$55,0)),""),"")</x:f>
      </x:c>
      <x:c r="G44" s="41" t="str">
        <x:f>IF(A44="","",IF(ISNUMBER(Profile!$B$8),IF(Profile!$B$8&gt;0,Profile!$B$8,""),""))</x:f>
      </x:c>
      <x:c r="H44" s="41" t="str">
        <x:f>IF(COUNT(F44:G44)=2,IF(AND(COUNTIF(ExPost!$A$6:$A$55,A44)=1,COUNTIF(Settlement!$A$6:$A$55,A44)=1,COUNTIF(CarryForward!$A$6:$A$55,A44)=1,COUNTIFS(ExPost!$A$6:$A$55,A44,ExPost!$P$6:$P$55,"CALCULATED - EP")=1,COUNTIFS(Settlement!$A$6:$A$55,A44,Settlement!$M$6:$M$55,"CANDIDATE - NO AUTHORIZATION")=1,COUNTIFS(CarryForward!$A$6:$A$55,A44,CarryForward!$N$6:$N$55,"CALCULATED - REVIEW LEDGER")=1,F44&gt;=0,G44&gt;0,Profile!$B$7&lt;&gt;"",Profile!$B$10&lt;&gt;""),F44/G44,""),"")</x:f>
      </x:c>
      <x:c r="I44" s="36"/>
      <x:c r="J44" s="41" t="str">
        <x:f>IF(A44="","","NO AUTHORIZATION BY WORKBOOK")</x:f>
      </x:c>
    </x:row>
    <x:row r="45" ht="23" customHeight="1">
      <x:c r="A45" s="38"/>
      <x:c r="B45" s="41" t="str">
        <x:f>IF(COUNTIF(ExPost!$A$6:$A$55,A45)=1,IF(ISNUMBER(INDEX(ExPost!$I$6:$I$55,MATCH(A45,ExPost!$A$6:$A$55,0))),INDEX(ExPost!$I$6:$I$55,MATCH(A45,ExPost!$A$6:$A$55,0)),""),"")</x:f>
      </x:c>
      <x:c r="C45" s="41" t="str">
        <x:f>IF(COUNTIF(ExPost!$A$6:$A$55,A45)=1,IF(ISNUMBER(INDEX(ExPost!$L$6:$L$55,MATCH(A45,ExPost!$A$6:$A$55,0))),INDEX(ExPost!$L$6:$L$55,MATCH(A45,ExPost!$A$6:$A$55,0)),""),"")</x:f>
      </x:c>
      <x:c r="D45" s="41" t="str">
        <x:f>IF(COUNTIF(CarryForward!$A$6:$A$55,A45)=1,IF(ISNUMBER(INDEX(CarryForward!$J$6:$J$55,MATCH(A45,CarryForward!$A$6:$A$55,0))),INDEX(CarryForward!$J$6:$J$55,MATCH(A45,CarryForward!$A$6:$A$55,0)),""),"")</x:f>
      </x:c>
      <x:c r="E45" s="41" t="str">
        <x:f>IF(COUNTIF(Settlement!$A$6:$A$55,A45)=1,IF(ISNUMBER(INDEX(Settlement!$J$6:$J$55,MATCH(A45,Settlement!$A$6:$A$55,0))),INDEX(Settlement!$J$6:$J$55,MATCH(A45,Settlement!$A$6:$A$55,0)),""),"")</x:f>
      </x:c>
      <x:c r="F45" s="41" t="str">
        <x:f>IF(COUNTIF(Settlement!$A$6:$A$55,A45)=1,IF(ISNUMBER(INDEX(Settlement!$L$6:$L$55,MATCH(A45,Settlement!$A$6:$A$55,0))),INDEX(Settlement!$L$6:$L$55,MATCH(A45,Settlement!$A$6:$A$55,0)),""),"")</x:f>
      </x:c>
      <x:c r="G45" s="41" t="str">
        <x:f>IF(A45="","",IF(ISNUMBER(Profile!$B$8),IF(Profile!$B$8&gt;0,Profile!$B$8,""),""))</x:f>
      </x:c>
      <x:c r="H45" s="41" t="str">
        <x:f>IF(COUNT(F45:G45)=2,IF(AND(COUNTIF(ExPost!$A$6:$A$55,A45)=1,COUNTIF(Settlement!$A$6:$A$55,A45)=1,COUNTIF(CarryForward!$A$6:$A$55,A45)=1,COUNTIFS(ExPost!$A$6:$A$55,A45,ExPost!$P$6:$P$55,"CALCULATED - EP")=1,COUNTIFS(Settlement!$A$6:$A$55,A45,Settlement!$M$6:$M$55,"CANDIDATE - NO AUTHORIZATION")=1,COUNTIFS(CarryForward!$A$6:$A$55,A45,CarryForward!$N$6:$N$55,"CALCULATED - REVIEW LEDGER")=1,F45&gt;=0,G45&gt;0,Profile!$B$7&lt;&gt;"",Profile!$B$10&lt;&gt;""),F45/G45,""),"")</x:f>
      </x:c>
      <x:c r="I45" s="36"/>
      <x:c r="J45" s="41" t="str">
        <x:f>IF(A45="","","NO AUTHORIZATION BY WORKBOOK")</x:f>
      </x:c>
    </x:row>
    <x:row r="46" ht="23" customHeight="1">
      <x:c r="A46" s="38"/>
      <x:c r="B46" s="41" t="str">
        <x:f>IF(COUNTIF(ExPost!$A$6:$A$55,A46)=1,IF(ISNUMBER(INDEX(ExPost!$I$6:$I$55,MATCH(A46,ExPost!$A$6:$A$55,0))),INDEX(ExPost!$I$6:$I$55,MATCH(A46,ExPost!$A$6:$A$55,0)),""),"")</x:f>
      </x:c>
      <x:c r="C46" s="41" t="str">
        <x:f>IF(COUNTIF(ExPost!$A$6:$A$55,A46)=1,IF(ISNUMBER(INDEX(ExPost!$L$6:$L$55,MATCH(A46,ExPost!$A$6:$A$55,0))),INDEX(ExPost!$L$6:$L$55,MATCH(A46,ExPost!$A$6:$A$55,0)),""),"")</x:f>
      </x:c>
      <x:c r="D46" s="41" t="str">
        <x:f>IF(COUNTIF(CarryForward!$A$6:$A$55,A46)=1,IF(ISNUMBER(INDEX(CarryForward!$J$6:$J$55,MATCH(A46,CarryForward!$A$6:$A$55,0))),INDEX(CarryForward!$J$6:$J$55,MATCH(A46,CarryForward!$A$6:$A$55,0)),""),"")</x:f>
      </x:c>
      <x:c r="E46" s="41" t="str">
        <x:f>IF(COUNTIF(Settlement!$A$6:$A$55,A46)=1,IF(ISNUMBER(INDEX(Settlement!$J$6:$J$55,MATCH(A46,Settlement!$A$6:$A$55,0))),INDEX(Settlement!$J$6:$J$55,MATCH(A46,Settlement!$A$6:$A$55,0)),""),"")</x:f>
      </x:c>
      <x:c r="F46" s="41" t="str">
        <x:f>IF(COUNTIF(Settlement!$A$6:$A$55,A46)=1,IF(ISNUMBER(INDEX(Settlement!$L$6:$L$55,MATCH(A46,Settlement!$A$6:$A$55,0))),INDEX(Settlement!$L$6:$L$55,MATCH(A46,Settlement!$A$6:$A$55,0)),""),"")</x:f>
      </x:c>
      <x:c r="G46" s="41" t="str">
        <x:f>IF(A46="","",IF(ISNUMBER(Profile!$B$8),IF(Profile!$B$8&gt;0,Profile!$B$8,""),""))</x:f>
      </x:c>
      <x:c r="H46" s="41" t="str">
        <x:f>IF(COUNT(F46:G46)=2,IF(AND(COUNTIF(ExPost!$A$6:$A$55,A46)=1,COUNTIF(Settlement!$A$6:$A$55,A46)=1,COUNTIF(CarryForward!$A$6:$A$55,A46)=1,COUNTIFS(ExPost!$A$6:$A$55,A46,ExPost!$P$6:$P$55,"CALCULATED - EP")=1,COUNTIFS(Settlement!$A$6:$A$55,A46,Settlement!$M$6:$M$55,"CANDIDATE - NO AUTHORIZATION")=1,COUNTIFS(CarryForward!$A$6:$A$55,A46,CarryForward!$N$6:$N$55,"CALCULATED - REVIEW LEDGER")=1,F46&gt;=0,G46&gt;0,Profile!$B$7&lt;&gt;"",Profile!$B$10&lt;&gt;""),F46/G46,""),"")</x:f>
      </x:c>
      <x:c r="I46" s="36"/>
      <x:c r="J46" s="41" t="str">
        <x:f>IF(A46="","","NO AUTHORIZATION BY WORKBOOK")</x:f>
      </x:c>
    </x:row>
    <x:row r="47" ht="23" customHeight="1">
      <x:c r="A47" s="38"/>
      <x:c r="B47" s="41" t="str">
        <x:f>IF(COUNTIF(ExPost!$A$6:$A$55,A47)=1,IF(ISNUMBER(INDEX(ExPost!$I$6:$I$55,MATCH(A47,ExPost!$A$6:$A$55,0))),INDEX(ExPost!$I$6:$I$55,MATCH(A47,ExPost!$A$6:$A$55,0)),""),"")</x:f>
      </x:c>
      <x:c r="C47" s="41" t="str">
        <x:f>IF(COUNTIF(ExPost!$A$6:$A$55,A47)=1,IF(ISNUMBER(INDEX(ExPost!$L$6:$L$55,MATCH(A47,ExPost!$A$6:$A$55,0))),INDEX(ExPost!$L$6:$L$55,MATCH(A47,ExPost!$A$6:$A$55,0)),""),"")</x:f>
      </x:c>
      <x:c r="D47" s="41" t="str">
        <x:f>IF(COUNTIF(CarryForward!$A$6:$A$55,A47)=1,IF(ISNUMBER(INDEX(CarryForward!$J$6:$J$55,MATCH(A47,CarryForward!$A$6:$A$55,0))),INDEX(CarryForward!$J$6:$J$55,MATCH(A47,CarryForward!$A$6:$A$55,0)),""),"")</x:f>
      </x:c>
      <x:c r="E47" s="41" t="str">
        <x:f>IF(COUNTIF(Settlement!$A$6:$A$55,A47)=1,IF(ISNUMBER(INDEX(Settlement!$J$6:$J$55,MATCH(A47,Settlement!$A$6:$A$55,0))),INDEX(Settlement!$J$6:$J$55,MATCH(A47,Settlement!$A$6:$A$55,0)),""),"")</x:f>
      </x:c>
      <x:c r="F47" s="41" t="str">
        <x:f>IF(COUNTIF(Settlement!$A$6:$A$55,A47)=1,IF(ISNUMBER(INDEX(Settlement!$L$6:$L$55,MATCH(A47,Settlement!$A$6:$A$55,0))),INDEX(Settlement!$L$6:$L$55,MATCH(A47,Settlement!$A$6:$A$55,0)),""),"")</x:f>
      </x:c>
      <x:c r="G47" s="41" t="str">
        <x:f>IF(A47="","",IF(ISNUMBER(Profile!$B$8),IF(Profile!$B$8&gt;0,Profile!$B$8,""),""))</x:f>
      </x:c>
      <x:c r="H47" s="41" t="str">
        <x:f>IF(COUNT(F47:G47)=2,IF(AND(COUNTIF(ExPost!$A$6:$A$55,A47)=1,COUNTIF(Settlement!$A$6:$A$55,A47)=1,COUNTIF(CarryForward!$A$6:$A$55,A47)=1,COUNTIFS(ExPost!$A$6:$A$55,A47,ExPost!$P$6:$P$55,"CALCULATED - EP")=1,COUNTIFS(Settlement!$A$6:$A$55,A47,Settlement!$M$6:$M$55,"CANDIDATE - NO AUTHORIZATION")=1,COUNTIFS(CarryForward!$A$6:$A$55,A47,CarryForward!$N$6:$N$55,"CALCULATED - REVIEW LEDGER")=1,F47&gt;=0,G47&gt;0,Profile!$B$7&lt;&gt;"",Profile!$B$10&lt;&gt;""),F47/G47,""),"")</x:f>
      </x:c>
      <x:c r="I47" s="36"/>
      <x:c r="J47" s="41" t="str">
        <x:f>IF(A47="","","NO AUTHORIZATION BY WORKBOOK")</x:f>
      </x:c>
    </x:row>
    <x:row r="48" ht="23" customHeight="1">
      <x:c r="A48" s="38"/>
      <x:c r="B48" s="41" t="str">
        <x:f>IF(COUNTIF(ExPost!$A$6:$A$55,A48)=1,IF(ISNUMBER(INDEX(ExPost!$I$6:$I$55,MATCH(A48,ExPost!$A$6:$A$55,0))),INDEX(ExPost!$I$6:$I$55,MATCH(A48,ExPost!$A$6:$A$55,0)),""),"")</x:f>
      </x:c>
      <x:c r="C48" s="41" t="str">
        <x:f>IF(COUNTIF(ExPost!$A$6:$A$55,A48)=1,IF(ISNUMBER(INDEX(ExPost!$L$6:$L$55,MATCH(A48,ExPost!$A$6:$A$55,0))),INDEX(ExPost!$L$6:$L$55,MATCH(A48,ExPost!$A$6:$A$55,0)),""),"")</x:f>
      </x:c>
      <x:c r="D48" s="41" t="str">
        <x:f>IF(COUNTIF(CarryForward!$A$6:$A$55,A48)=1,IF(ISNUMBER(INDEX(CarryForward!$J$6:$J$55,MATCH(A48,CarryForward!$A$6:$A$55,0))),INDEX(CarryForward!$J$6:$J$55,MATCH(A48,CarryForward!$A$6:$A$55,0)),""),"")</x:f>
      </x:c>
      <x:c r="E48" s="41" t="str">
        <x:f>IF(COUNTIF(Settlement!$A$6:$A$55,A48)=1,IF(ISNUMBER(INDEX(Settlement!$J$6:$J$55,MATCH(A48,Settlement!$A$6:$A$55,0))),INDEX(Settlement!$J$6:$J$55,MATCH(A48,Settlement!$A$6:$A$55,0)),""),"")</x:f>
      </x:c>
      <x:c r="F48" s="41" t="str">
        <x:f>IF(COUNTIF(Settlement!$A$6:$A$55,A48)=1,IF(ISNUMBER(INDEX(Settlement!$L$6:$L$55,MATCH(A48,Settlement!$A$6:$A$55,0))),INDEX(Settlement!$L$6:$L$55,MATCH(A48,Settlement!$A$6:$A$55,0)),""),"")</x:f>
      </x:c>
      <x:c r="G48" s="41" t="str">
        <x:f>IF(A48="","",IF(ISNUMBER(Profile!$B$8),IF(Profile!$B$8&gt;0,Profile!$B$8,""),""))</x:f>
      </x:c>
      <x:c r="H48" s="41" t="str">
        <x:f>IF(COUNT(F48:G48)=2,IF(AND(COUNTIF(ExPost!$A$6:$A$55,A48)=1,COUNTIF(Settlement!$A$6:$A$55,A48)=1,COUNTIF(CarryForward!$A$6:$A$55,A48)=1,COUNTIFS(ExPost!$A$6:$A$55,A48,ExPost!$P$6:$P$55,"CALCULATED - EP")=1,COUNTIFS(Settlement!$A$6:$A$55,A48,Settlement!$M$6:$M$55,"CANDIDATE - NO AUTHORIZATION")=1,COUNTIFS(CarryForward!$A$6:$A$55,A48,CarryForward!$N$6:$N$55,"CALCULATED - REVIEW LEDGER")=1,F48&gt;=0,G48&gt;0,Profile!$B$7&lt;&gt;"",Profile!$B$10&lt;&gt;""),F48/G48,""),"")</x:f>
      </x:c>
      <x:c r="I48" s="36"/>
      <x:c r="J48" s="41" t="str">
        <x:f>IF(A48="","","NO AUTHORIZATION BY WORKBOOK")</x:f>
      </x:c>
    </x:row>
    <x:row r="49" ht="23" customHeight="1">
      <x:c r="A49" s="38"/>
      <x:c r="B49" s="41" t="str">
        <x:f>IF(COUNTIF(ExPost!$A$6:$A$55,A49)=1,IF(ISNUMBER(INDEX(ExPost!$I$6:$I$55,MATCH(A49,ExPost!$A$6:$A$55,0))),INDEX(ExPost!$I$6:$I$55,MATCH(A49,ExPost!$A$6:$A$55,0)),""),"")</x:f>
      </x:c>
      <x:c r="C49" s="41" t="str">
        <x:f>IF(COUNTIF(ExPost!$A$6:$A$55,A49)=1,IF(ISNUMBER(INDEX(ExPost!$L$6:$L$55,MATCH(A49,ExPost!$A$6:$A$55,0))),INDEX(ExPost!$L$6:$L$55,MATCH(A49,ExPost!$A$6:$A$55,0)),""),"")</x:f>
      </x:c>
      <x:c r="D49" s="41" t="str">
        <x:f>IF(COUNTIF(CarryForward!$A$6:$A$55,A49)=1,IF(ISNUMBER(INDEX(CarryForward!$J$6:$J$55,MATCH(A49,CarryForward!$A$6:$A$55,0))),INDEX(CarryForward!$J$6:$J$55,MATCH(A49,CarryForward!$A$6:$A$55,0)),""),"")</x:f>
      </x:c>
      <x:c r="E49" s="41" t="str">
        <x:f>IF(COUNTIF(Settlement!$A$6:$A$55,A49)=1,IF(ISNUMBER(INDEX(Settlement!$J$6:$J$55,MATCH(A49,Settlement!$A$6:$A$55,0))),INDEX(Settlement!$J$6:$J$55,MATCH(A49,Settlement!$A$6:$A$55,0)),""),"")</x:f>
      </x:c>
      <x:c r="F49" s="41" t="str">
        <x:f>IF(COUNTIF(Settlement!$A$6:$A$55,A49)=1,IF(ISNUMBER(INDEX(Settlement!$L$6:$L$55,MATCH(A49,Settlement!$A$6:$A$55,0))),INDEX(Settlement!$L$6:$L$55,MATCH(A49,Settlement!$A$6:$A$55,0)),""),"")</x:f>
      </x:c>
      <x:c r="G49" s="41" t="str">
        <x:f>IF(A49="","",IF(ISNUMBER(Profile!$B$8),IF(Profile!$B$8&gt;0,Profile!$B$8,""),""))</x:f>
      </x:c>
      <x:c r="H49" s="41" t="str">
        <x:f>IF(COUNT(F49:G49)=2,IF(AND(COUNTIF(ExPost!$A$6:$A$55,A49)=1,COUNTIF(Settlement!$A$6:$A$55,A49)=1,COUNTIF(CarryForward!$A$6:$A$55,A49)=1,COUNTIFS(ExPost!$A$6:$A$55,A49,ExPost!$P$6:$P$55,"CALCULATED - EP")=1,COUNTIFS(Settlement!$A$6:$A$55,A49,Settlement!$M$6:$M$55,"CANDIDATE - NO AUTHORIZATION")=1,COUNTIFS(CarryForward!$A$6:$A$55,A49,CarryForward!$N$6:$N$55,"CALCULATED - REVIEW LEDGER")=1,F49&gt;=0,G49&gt;0,Profile!$B$7&lt;&gt;"",Profile!$B$10&lt;&gt;""),F49/G49,""),"")</x:f>
      </x:c>
      <x:c r="I49" s="36"/>
      <x:c r="J49" s="41" t="str">
        <x:f>IF(A49="","","NO AUTHORIZATION BY WORKBOOK")</x:f>
      </x:c>
    </x:row>
    <x:row r="50" ht="23" customHeight="1">
      <x:c r="A50" s="38"/>
      <x:c r="B50" s="41" t="str">
        <x:f>IF(COUNTIF(ExPost!$A$6:$A$55,A50)=1,IF(ISNUMBER(INDEX(ExPost!$I$6:$I$55,MATCH(A50,ExPost!$A$6:$A$55,0))),INDEX(ExPost!$I$6:$I$55,MATCH(A50,ExPost!$A$6:$A$55,0)),""),"")</x:f>
      </x:c>
      <x:c r="C50" s="41" t="str">
        <x:f>IF(COUNTIF(ExPost!$A$6:$A$55,A50)=1,IF(ISNUMBER(INDEX(ExPost!$L$6:$L$55,MATCH(A50,ExPost!$A$6:$A$55,0))),INDEX(ExPost!$L$6:$L$55,MATCH(A50,ExPost!$A$6:$A$55,0)),""),"")</x:f>
      </x:c>
      <x:c r="D50" s="41" t="str">
        <x:f>IF(COUNTIF(CarryForward!$A$6:$A$55,A50)=1,IF(ISNUMBER(INDEX(CarryForward!$J$6:$J$55,MATCH(A50,CarryForward!$A$6:$A$55,0))),INDEX(CarryForward!$J$6:$J$55,MATCH(A50,CarryForward!$A$6:$A$55,0)),""),"")</x:f>
      </x:c>
      <x:c r="E50" s="41" t="str">
        <x:f>IF(COUNTIF(Settlement!$A$6:$A$55,A50)=1,IF(ISNUMBER(INDEX(Settlement!$J$6:$J$55,MATCH(A50,Settlement!$A$6:$A$55,0))),INDEX(Settlement!$J$6:$J$55,MATCH(A50,Settlement!$A$6:$A$55,0)),""),"")</x:f>
      </x:c>
      <x:c r="F50" s="41" t="str">
        <x:f>IF(COUNTIF(Settlement!$A$6:$A$55,A50)=1,IF(ISNUMBER(INDEX(Settlement!$L$6:$L$55,MATCH(A50,Settlement!$A$6:$A$55,0))),INDEX(Settlement!$L$6:$L$55,MATCH(A50,Settlement!$A$6:$A$55,0)),""),"")</x:f>
      </x:c>
      <x:c r="G50" s="41" t="str">
        <x:f>IF(A50="","",IF(ISNUMBER(Profile!$B$8),IF(Profile!$B$8&gt;0,Profile!$B$8,""),""))</x:f>
      </x:c>
      <x:c r="H50" s="41" t="str">
        <x:f>IF(COUNT(F50:G50)=2,IF(AND(COUNTIF(ExPost!$A$6:$A$55,A50)=1,COUNTIF(Settlement!$A$6:$A$55,A50)=1,COUNTIF(CarryForward!$A$6:$A$55,A50)=1,COUNTIFS(ExPost!$A$6:$A$55,A50,ExPost!$P$6:$P$55,"CALCULATED - EP")=1,COUNTIFS(Settlement!$A$6:$A$55,A50,Settlement!$M$6:$M$55,"CANDIDATE - NO AUTHORIZATION")=1,COUNTIFS(CarryForward!$A$6:$A$55,A50,CarryForward!$N$6:$N$55,"CALCULATED - REVIEW LEDGER")=1,F50&gt;=0,G50&gt;0,Profile!$B$7&lt;&gt;"",Profile!$B$10&lt;&gt;""),F50/G50,""),"")</x:f>
      </x:c>
      <x:c r="I50" s="36"/>
      <x:c r="J50" s="41" t="str">
        <x:f>IF(A50="","","NO AUTHORIZATION BY WORKBOOK")</x:f>
      </x:c>
    </x:row>
    <x:row r="51" ht="23" customHeight="1">
      <x:c r="A51" s="38"/>
      <x:c r="B51" s="41" t="str">
        <x:f>IF(COUNTIF(ExPost!$A$6:$A$55,A51)=1,IF(ISNUMBER(INDEX(ExPost!$I$6:$I$55,MATCH(A51,ExPost!$A$6:$A$55,0))),INDEX(ExPost!$I$6:$I$55,MATCH(A51,ExPost!$A$6:$A$55,0)),""),"")</x:f>
      </x:c>
      <x:c r="C51" s="41" t="str">
        <x:f>IF(COUNTIF(ExPost!$A$6:$A$55,A51)=1,IF(ISNUMBER(INDEX(ExPost!$L$6:$L$55,MATCH(A51,ExPost!$A$6:$A$55,0))),INDEX(ExPost!$L$6:$L$55,MATCH(A51,ExPost!$A$6:$A$55,0)),""),"")</x:f>
      </x:c>
      <x:c r="D51" s="41" t="str">
        <x:f>IF(COUNTIF(CarryForward!$A$6:$A$55,A51)=1,IF(ISNUMBER(INDEX(CarryForward!$J$6:$J$55,MATCH(A51,CarryForward!$A$6:$A$55,0))),INDEX(CarryForward!$J$6:$J$55,MATCH(A51,CarryForward!$A$6:$A$55,0)),""),"")</x:f>
      </x:c>
      <x:c r="E51" s="41" t="str">
        <x:f>IF(COUNTIF(Settlement!$A$6:$A$55,A51)=1,IF(ISNUMBER(INDEX(Settlement!$J$6:$J$55,MATCH(A51,Settlement!$A$6:$A$55,0))),INDEX(Settlement!$J$6:$J$55,MATCH(A51,Settlement!$A$6:$A$55,0)),""),"")</x:f>
      </x:c>
      <x:c r="F51" s="41" t="str">
        <x:f>IF(COUNTIF(Settlement!$A$6:$A$55,A51)=1,IF(ISNUMBER(INDEX(Settlement!$L$6:$L$55,MATCH(A51,Settlement!$A$6:$A$55,0))),INDEX(Settlement!$L$6:$L$55,MATCH(A51,Settlement!$A$6:$A$55,0)),""),"")</x:f>
      </x:c>
      <x:c r="G51" s="41" t="str">
        <x:f>IF(A51="","",IF(ISNUMBER(Profile!$B$8),IF(Profile!$B$8&gt;0,Profile!$B$8,""),""))</x:f>
      </x:c>
      <x:c r="H51" s="41" t="str">
        <x:f>IF(COUNT(F51:G51)=2,IF(AND(COUNTIF(ExPost!$A$6:$A$55,A51)=1,COUNTIF(Settlement!$A$6:$A$55,A51)=1,COUNTIF(CarryForward!$A$6:$A$55,A51)=1,COUNTIFS(ExPost!$A$6:$A$55,A51,ExPost!$P$6:$P$55,"CALCULATED - EP")=1,COUNTIFS(Settlement!$A$6:$A$55,A51,Settlement!$M$6:$M$55,"CANDIDATE - NO AUTHORIZATION")=1,COUNTIFS(CarryForward!$A$6:$A$55,A51,CarryForward!$N$6:$N$55,"CALCULATED - REVIEW LEDGER")=1,F51&gt;=0,G51&gt;0,Profile!$B$7&lt;&gt;"",Profile!$B$10&lt;&gt;""),F51/G51,""),"")</x:f>
      </x:c>
      <x:c r="I51" s="36"/>
      <x:c r="J51" s="41" t="str">
        <x:f>IF(A51="","","NO AUTHORIZATION BY WORKBOOK")</x:f>
      </x:c>
    </x:row>
    <x:row r="52" ht="23" customHeight="1">
      <x:c r="A52" s="38"/>
      <x:c r="B52" s="41" t="str">
        <x:f>IF(COUNTIF(ExPost!$A$6:$A$55,A52)=1,IF(ISNUMBER(INDEX(ExPost!$I$6:$I$55,MATCH(A52,ExPost!$A$6:$A$55,0))),INDEX(ExPost!$I$6:$I$55,MATCH(A52,ExPost!$A$6:$A$55,0)),""),"")</x:f>
      </x:c>
      <x:c r="C52" s="41" t="str">
        <x:f>IF(COUNTIF(ExPost!$A$6:$A$55,A52)=1,IF(ISNUMBER(INDEX(ExPost!$L$6:$L$55,MATCH(A52,ExPost!$A$6:$A$55,0))),INDEX(ExPost!$L$6:$L$55,MATCH(A52,ExPost!$A$6:$A$55,0)),""),"")</x:f>
      </x:c>
      <x:c r="D52" s="41" t="str">
        <x:f>IF(COUNTIF(CarryForward!$A$6:$A$55,A52)=1,IF(ISNUMBER(INDEX(CarryForward!$J$6:$J$55,MATCH(A52,CarryForward!$A$6:$A$55,0))),INDEX(CarryForward!$J$6:$J$55,MATCH(A52,CarryForward!$A$6:$A$55,0)),""),"")</x:f>
      </x:c>
      <x:c r="E52" s="41" t="str">
        <x:f>IF(COUNTIF(Settlement!$A$6:$A$55,A52)=1,IF(ISNUMBER(INDEX(Settlement!$J$6:$J$55,MATCH(A52,Settlement!$A$6:$A$55,0))),INDEX(Settlement!$J$6:$J$55,MATCH(A52,Settlement!$A$6:$A$55,0)),""),"")</x:f>
      </x:c>
      <x:c r="F52" s="41" t="str">
        <x:f>IF(COUNTIF(Settlement!$A$6:$A$55,A52)=1,IF(ISNUMBER(INDEX(Settlement!$L$6:$L$55,MATCH(A52,Settlement!$A$6:$A$55,0))),INDEX(Settlement!$L$6:$L$55,MATCH(A52,Settlement!$A$6:$A$55,0)),""),"")</x:f>
      </x:c>
      <x:c r="G52" s="41" t="str">
        <x:f>IF(A52="","",IF(ISNUMBER(Profile!$B$8),IF(Profile!$B$8&gt;0,Profile!$B$8,""),""))</x:f>
      </x:c>
      <x:c r="H52" s="41" t="str">
        <x:f>IF(COUNT(F52:G52)=2,IF(AND(COUNTIF(ExPost!$A$6:$A$55,A52)=1,COUNTIF(Settlement!$A$6:$A$55,A52)=1,COUNTIF(CarryForward!$A$6:$A$55,A52)=1,COUNTIFS(ExPost!$A$6:$A$55,A52,ExPost!$P$6:$P$55,"CALCULATED - EP")=1,COUNTIFS(Settlement!$A$6:$A$55,A52,Settlement!$M$6:$M$55,"CANDIDATE - NO AUTHORIZATION")=1,COUNTIFS(CarryForward!$A$6:$A$55,A52,CarryForward!$N$6:$N$55,"CALCULATED - REVIEW LEDGER")=1,F52&gt;=0,G52&gt;0,Profile!$B$7&lt;&gt;"",Profile!$B$10&lt;&gt;""),F52/G52,""),"")</x:f>
      </x:c>
      <x:c r="I52" s="36"/>
      <x:c r="J52" s="41" t="str">
        <x:f>IF(A52="","","NO AUTHORIZATION BY WORKBOOK")</x:f>
      </x:c>
    </x:row>
    <x:row r="53" ht="23" customHeight="1">
      <x:c r="A53" s="38"/>
      <x:c r="B53" s="41" t="str">
        <x:f>IF(COUNTIF(ExPost!$A$6:$A$55,A53)=1,IF(ISNUMBER(INDEX(ExPost!$I$6:$I$55,MATCH(A53,ExPost!$A$6:$A$55,0))),INDEX(ExPost!$I$6:$I$55,MATCH(A53,ExPost!$A$6:$A$55,0)),""),"")</x:f>
      </x:c>
      <x:c r="C53" s="41" t="str">
        <x:f>IF(COUNTIF(ExPost!$A$6:$A$55,A53)=1,IF(ISNUMBER(INDEX(ExPost!$L$6:$L$55,MATCH(A53,ExPost!$A$6:$A$55,0))),INDEX(ExPost!$L$6:$L$55,MATCH(A53,ExPost!$A$6:$A$55,0)),""),"")</x:f>
      </x:c>
      <x:c r="D53" s="41" t="str">
        <x:f>IF(COUNTIF(CarryForward!$A$6:$A$55,A53)=1,IF(ISNUMBER(INDEX(CarryForward!$J$6:$J$55,MATCH(A53,CarryForward!$A$6:$A$55,0))),INDEX(CarryForward!$J$6:$J$55,MATCH(A53,CarryForward!$A$6:$A$55,0)),""),"")</x:f>
      </x:c>
      <x:c r="E53" s="41" t="str">
        <x:f>IF(COUNTIF(Settlement!$A$6:$A$55,A53)=1,IF(ISNUMBER(INDEX(Settlement!$J$6:$J$55,MATCH(A53,Settlement!$A$6:$A$55,0))),INDEX(Settlement!$J$6:$J$55,MATCH(A53,Settlement!$A$6:$A$55,0)),""),"")</x:f>
      </x:c>
      <x:c r="F53" s="41" t="str">
        <x:f>IF(COUNTIF(Settlement!$A$6:$A$55,A53)=1,IF(ISNUMBER(INDEX(Settlement!$L$6:$L$55,MATCH(A53,Settlement!$A$6:$A$55,0))),INDEX(Settlement!$L$6:$L$55,MATCH(A53,Settlement!$A$6:$A$55,0)),""),"")</x:f>
      </x:c>
      <x:c r="G53" s="41" t="str">
        <x:f>IF(A53="","",IF(ISNUMBER(Profile!$B$8),IF(Profile!$B$8&gt;0,Profile!$B$8,""),""))</x:f>
      </x:c>
      <x:c r="H53" s="41" t="str">
        <x:f>IF(COUNT(F53:G53)=2,IF(AND(COUNTIF(ExPost!$A$6:$A$55,A53)=1,COUNTIF(Settlement!$A$6:$A$55,A53)=1,COUNTIF(CarryForward!$A$6:$A$55,A53)=1,COUNTIFS(ExPost!$A$6:$A$55,A53,ExPost!$P$6:$P$55,"CALCULATED - EP")=1,COUNTIFS(Settlement!$A$6:$A$55,A53,Settlement!$M$6:$M$55,"CANDIDATE - NO AUTHORIZATION")=1,COUNTIFS(CarryForward!$A$6:$A$55,A53,CarryForward!$N$6:$N$55,"CALCULATED - REVIEW LEDGER")=1,F53&gt;=0,G53&gt;0,Profile!$B$7&lt;&gt;"",Profile!$B$10&lt;&gt;""),F53/G53,""),"")</x:f>
      </x:c>
      <x:c r="I53" s="36"/>
      <x:c r="J53" s="41" t="str">
        <x:f>IF(A53="","","NO AUTHORIZATION BY WORKBOOK")</x:f>
      </x:c>
    </x:row>
    <x:row r="54" ht="23" customHeight="1">
      <x:c r="A54" s="38"/>
      <x:c r="B54" s="41" t="str">
        <x:f>IF(COUNTIF(ExPost!$A$6:$A$55,A54)=1,IF(ISNUMBER(INDEX(ExPost!$I$6:$I$55,MATCH(A54,ExPost!$A$6:$A$55,0))),INDEX(ExPost!$I$6:$I$55,MATCH(A54,ExPost!$A$6:$A$55,0)),""),"")</x:f>
      </x:c>
      <x:c r="C54" s="41" t="str">
        <x:f>IF(COUNTIF(ExPost!$A$6:$A$55,A54)=1,IF(ISNUMBER(INDEX(ExPost!$L$6:$L$55,MATCH(A54,ExPost!$A$6:$A$55,0))),INDEX(ExPost!$L$6:$L$55,MATCH(A54,ExPost!$A$6:$A$55,0)),""),"")</x:f>
      </x:c>
      <x:c r="D54" s="41" t="str">
        <x:f>IF(COUNTIF(CarryForward!$A$6:$A$55,A54)=1,IF(ISNUMBER(INDEX(CarryForward!$J$6:$J$55,MATCH(A54,CarryForward!$A$6:$A$55,0))),INDEX(CarryForward!$J$6:$J$55,MATCH(A54,CarryForward!$A$6:$A$55,0)),""),"")</x:f>
      </x:c>
      <x:c r="E54" s="41" t="str">
        <x:f>IF(COUNTIF(Settlement!$A$6:$A$55,A54)=1,IF(ISNUMBER(INDEX(Settlement!$J$6:$J$55,MATCH(A54,Settlement!$A$6:$A$55,0))),INDEX(Settlement!$J$6:$J$55,MATCH(A54,Settlement!$A$6:$A$55,0)),""),"")</x:f>
      </x:c>
      <x:c r="F54" s="41" t="str">
        <x:f>IF(COUNTIF(Settlement!$A$6:$A$55,A54)=1,IF(ISNUMBER(INDEX(Settlement!$L$6:$L$55,MATCH(A54,Settlement!$A$6:$A$55,0))),INDEX(Settlement!$L$6:$L$55,MATCH(A54,Settlement!$A$6:$A$55,0)),""),"")</x:f>
      </x:c>
      <x:c r="G54" s="41" t="str">
        <x:f>IF(A54="","",IF(ISNUMBER(Profile!$B$8),IF(Profile!$B$8&gt;0,Profile!$B$8,""),""))</x:f>
      </x:c>
      <x:c r="H54" s="41" t="str">
        <x:f>IF(COUNT(F54:G54)=2,IF(AND(COUNTIF(ExPost!$A$6:$A$55,A54)=1,COUNTIF(Settlement!$A$6:$A$55,A54)=1,COUNTIF(CarryForward!$A$6:$A$55,A54)=1,COUNTIFS(ExPost!$A$6:$A$55,A54,ExPost!$P$6:$P$55,"CALCULATED - EP")=1,COUNTIFS(Settlement!$A$6:$A$55,A54,Settlement!$M$6:$M$55,"CANDIDATE - NO AUTHORIZATION")=1,COUNTIFS(CarryForward!$A$6:$A$55,A54,CarryForward!$N$6:$N$55,"CALCULATED - REVIEW LEDGER")=1,F54&gt;=0,G54&gt;0,Profile!$B$7&lt;&gt;"",Profile!$B$10&lt;&gt;""),F54/G54,""),"")</x:f>
      </x:c>
      <x:c r="I54" s="36"/>
      <x:c r="J54" s="41" t="str">
        <x:f>IF(A54="","","NO AUTHORIZATION BY WORKBOOK")</x:f>
      </x:c>
    </x:row>
    <x:row r="55" ht="23" customHeight="1">
      <x:c r="A55" s="38"/>
      <x:c r="B55" s="41" t="str">
        <x:f>IF(COUNTIF(ExPost!$A$6:$A$55,A55)=1,IF(ISNUMBER(INDEX(ExPost!$I$6:$I$55,MATCH(A55,ExPost!$A$6:$A$55,0))),INDEX(ExPost!$I$6:$I$55,MATCH(A55,ExPost!$A$6:$A$55,0)),""),"")</x:f>
      </x:c>
      <x:c r="C55" s="41" t="str">
        <x:f>IF(COUNTIF(ExPost!$A$6:$A$55,A55)=1,IF(ISNUMBER(INDEX(ExPost!$L$6:$L$55,MATCH(A55,ExPost!$A$6:$A$55,0))),INDEX(ExPost!$L$6:$L$55,MATCH(A55,ExPost!$A$6:$A$55,0)),""),"")</x:f>
      </x:c>
      <x:c r="D55" s="41" t="str">
        <x:f>IF(COUNTIF(CarryForward!$A$6:$A$55,A55)=1,IF(ISNUMBER(INDEX(CarryForward!$J$6:$J$55,MATCH(A55,CarryForward!$A$6:$A$55,0))),INDEX(CarryForward!$J$6:$J$55,MATCH(A55,CarryForward!$A$6:$A$55,0)),""),"")</x:f>
      </x:c>
      <x:c r="E55" s="41" t="str">
        <x:f>IF(COUNTIF(Settlement!$A$6:$A$55,A55)=1,IF(ISNUMBER(INDEX(Settlement!$J$6:$J$55,MATCH(A55,Settlement!$A$6:$A$55,0))),INDEX(Settlement!$J$6:$J$55,MATCH(A55,Settlement!$A$6:$A$55,0)),""),"")</x:f>
      </x:c>
      <x:c r="F55" s="41" t="str">
        <x:f>IF(COUNTIF(Settlement!$A$6:$A$55,A55)=1,IF(ISNUMBER(INDEX(Settlement!$L$6:$L$55,MATCH(A55,Settlement!$A$6:$A$55,0))),INDEX(Settlement!$L$6:$L$55,MATCH(A55,Settlement!$A$6:$A$55,0)),""),"")</x:f>
      </x:c>
      <x:c r="G55" s="41" t="str">
        <x:f>IF(A55="","",IF(ISNUMBER(Profile!$B$8),IF(Profile!$B$8&gt;0,Profile!$B$8,""),""))</x:f>
      </x:c>
      <x:c r="H55" s="41" t="str">
        <x:f>IF(COUNT(F55:G55)=2,IF(AND(COUNTIF(ExPost!$A$6:$A$55,A55)=1,COUNTIF(Settlement!$A$6:$A$55,A55)=1,COUNTIF(CarryForward!$A$6:$A$55,A55)=1,COUNTIFS(ExPost!$A$6:$A$55,A55,ExPost!$P$6:$P$55,"CALCULATED - EP")=1,COUNTIFS(Settlement!$A$6:$A$55,A55,Settlement!$M$6:$M$55,"CANDIDATE - NO AUTHORIZATION")=1,COUNTIFS(CarryForward!$A$6:$A$55,A55,CarryForward!$N$6:$N$55,"CALCULATED - REVIEW LEDGER")=1,F55&gt;=0,G55&gt;0,Profile!$B$7&lt;&gt;"",Profile!$B$10&lt;&gt;""),F55/G55,""),"")</x:f>
      </x:c>
      <x:c r="I55" s="36"/>
      <x:c r="J55" s="41" t="str">
        <x:f>IF(A55="","","NO AUTHORIZATION BY WORKBOOK")</x:f>
      </x:c>
    </x:row>
  </x:sheetData>
  <x:mergeCells>
    <x:mergeCell ref="A1:J2"/>
    <x:mergeCell ref="A3:J4"/>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Frozen ex-ante versus reported ex-post</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Differences use ex-post minus ex-ante on the same scope, before uncertainty and reserves. Closure: delta Q = delta BL - delta PJ - delta LK. This does not demonstrate causality or improvement by itself.</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Period key</x:v>
      </x:c>
      <x:c r="B5" s="29" t="str">
        <x:v>Matched support</x:v>
      </x:c>
      <x:c r="C5" s="29" t="str">
        <x:v>Frozen estimate reference</x:v>
      </x:c>
      <x:c r="D5" s="29" t="str">
        <x:v>Ex-ante net
Q_hat,t^EA
[t CO2e]</x:v>
      </x:c>
      <x:c r="E5" s="29" t="str">
        <x:v>Ex-post net
Q_hat,t^EP
[t CO2e]</x:v>
      </x:c>
      <x:c r="F5" s="29" t="str">
        <x:v>Net difference
DeltaQ_t
[t CO2e]</x:v>
      </x:c>
      <x:c r="G5" s="29" t="str">
        <x:v>Baseline difference
DeltaN_BL,t
[t CO2e]</x:v>
      </x:c>
      <x:c r="H5" s="29" t="str">
        <x:v>Project difference
DeltaN_PJ,t
[t CO2e]</x:v>
      </x:c>
      <x:c r="I5" s="29" t="str">
        <x:v>Leakage difference
DeltaL_t
[t CO2e]</x:v>
      </x:c>
      <x:c r="J5" s="29" t="str">
        <x:v>Identity residual
r_comparison,t
[t CO2e]</x:v>
      </x:c>
      <x:c r="K5" s="29" t="str">
        <x:v>Explanation / evidence</x:v>
      </x:c>
      <x:c r="L5" s="29" t="str">
        <x:v>Check</x:v>
      </x:c>
      <x:c r="M5"/>
      <x:c r="N5"/>
      <x:c r="O5"/>
      <x:c r="P5"/>
    </x:row>
    <x:row r="6" ht="23" customHeight="1">
      <x:c r="A6" s="38"/>
      <x:c r="B6" s="36"/>
      <x:c r="C6" s="36"/>
      <x:c r="D6" s="41" t="str">
        <x:f>IF(COUNTIF(ExAnte!$A$6:$A$55,A6)=1,IF(ISNUMBER(INDEX(ExAnte!$I$6:$I$55,MATCH(A6,ExAnte!$A$6:$A$55,0))),INDEX(ExAnte!$I$6:$I$55,MATCH(A6,ExAnte!$A$6:$A$55,0)),""),"")</x:f>
      </x:c>
      <x:c r="E6" s="41" t="str">
        <x:f>IF(COUNTIF(ExPost!$A$6:$A$55,A6)=1,IF(ISNUMBER(INDEX(ExPost!$I$6:$I$55,MATCH(A6,ExPost!$A$6:$A$55,0))),INDEX(ExPost!$I$6:$I$55,MATCH(A6,ExPost!$A$6:$A$55,0)),""),"")</x:f>
      </x:c>
      <x:c r="F6" s="41" t="str">
        <x:f>IF(COUNT(D6:E6)=2,E6-D6,"")</x:f>
      </x:c>
      <x:c r="G6" s="41" t="str">
        <x:f>IF(AND(ISNUMBER(IF(COUNTIF(ExAnte!$A$6:$A$55,A6)=1,IF(ISNUMBER(INDEX(ExAnte!$F$6:$F$55,MATCH(A6,ExAnte!$A$6:$A$55,0))),INDEX(ExAnte!$F$6:$F$55,MATCH(A6,ExAnte!$A$6:$A$55,0)),""),"")),ISNUMBER(IF(COUNTIF(ExPost!$A$6:$A$55,A6)=1,IF(ISNUMBER(INDEX(ExPost!$F$6:$F$55,MATCH(A6,ExPost!$A$6:$A$55,0))),INDEX(ExPost!$F$6:$F$55,MATCH(A6,ExPost!$A$6:$A$55,0)),""),""))),(IF(COUNTIF(ExPost!$A$6:$A$55,A6)=1,IF(ISNUMBER(INDEX(ExPost!$F$6:$F$55,MATCH(A6,ExPost!$A$6:$A$55,0))),INDEX(ExPost!$F$6:$F$55,MATCH(A6,ExPost!$A$6:$A$55,0)),""),""))-(IF(COUNTIF(ExAnte!$A$6:$A$55,A6)=1,IF(ISNUMBER(INDEX(ExAnte!$F$6:$F$55,MATCH(A6,ExAnte!$A$6:$A$55,0))),INDEX(ExAnte!$F$6:$F$55,MATCH(A6,ExAnte!$A$6:$A$55,0)),""),"")),"")</x:f>
      </x:c>
      <x:c r="H6" s="41" t="str">
        <x:f>IF(AND(ISNUMBER(IF(COUNTIF(ExAnte!$A$6:$A$55,A6)=1,IF(ISNUMBER(INDEX(ExAnte!$G$6:$G$55,MATCH(A6,ExAnte!$A$6:$A$55,0))),INDEX(ExAnte!$G$6:$G$55,MATCH(A6,ExAnte!$A$6:$A$55,0)),""),"")),ISNUMBER(IF(COUNTIF(ExPost!$A$6:$A$55,A6)=1,IF(ISNUMBER(INDEX(ExPost!$G$6:$G$55,MATCH(A6,ExPost!$A$6:$A$55,0))),INDEX(ExPost!$G$6:$G$55,MATCH(A6,ExPost!$A$6:$A$55,0)),""),""))),(IF(COUNTIF(ExPost!$A$6:$A$55,A6)=1,IF(ISNUMBER(INDEX(ExPost!$G$6:$G$55,MATCH(A6,ExPost!$A$6:$A$55,0))),INDEX(ExPost!$G$6:$G$55,MATCH(A6,ExPost!$A$6:$A$55,0)),""),""))-(IF(COUNTIF(ExAnte!$A$6:$A$55,A6)=1,IF(ISNUMBER(INDEX(ExAnte!$G$6:$G$55,MATCH(A6,ExAnte!$A$6:$A$55,0))),INDEX(ExAnte!$G$6:$G$55,MATCH(A6,ExAnte!$A$6:$A$55,0)),""),"")),"")</x:f>
      </x:c>
      <x:c r="I6" s="41" t="str">
        <x:f>IF(AND(ISNUMBER(IF(COUNTIF(ExAnte!$A$6:$A$55,A6)=1,IF(ISNUMBER(INDEX(ExAnte!$H$6:$H$55,MATCH(A6,ExAnte!$A$6:$A$55,0))),INDEX(ExAnte!$H$6:$H$55,MATCH(A6,ExAnte!$A$6:$A$55,0)),""),"")),ISNUMBER(IF(COUNTIF(ExPost!$A$6:$A$55,A6)=1,IF(ISNUMBER(INDEX(ExPost!$H$6:$H$55,MATCH(A6,ExPost!$A$6:$A$55,0))),INDEX(ExPost!$H$6:$H$55,MATCH(A6,ExPost!$A$6:$A$55,0)),""),""))),(IF(COUNTIF(ExPost!$A$6:$A$55,A6)=1,IF(ISNUMBER(INDEX(ExPost!$H$6:$H$55,MATCH(A6,ExPost!$A$6:$A$55,0))),INDEX(ExPost!$H$6:$H$55,MATCH(A6,ExPost!$A$6:$A$55,0)),""),""))-(IF(COUNTIF(ExAnte!$A$6:$A$55,A6)=1,IF(ISNUMBER(INDEX(ExAnte!$H$6:$H$55,MATCH(A6,ExAnte!$A$6:$A$55,0))),INDEX(ExAnte!$H$6:$H$55,MATCH(A6,ExAnte!$A$6:$A$55,0)),""),"")),"")</x:f>
      </x:c>
      <x:c r="J6" s="41" t="str">
        <x:f>IF(COUNT(F6:I6)=4,F6-(G6-H6-I6),"")</x:f>
      </x:c>
      <x:c r="K6" s="36"/>
      <x:c r="L6" s="41" t="str">
        <x:f>IF(A6="","",IF(AND(B6="YES",C6&lt;&gt;"",ISNUMBER(J6),ABS(J6)&lt;=Profile!$B$18),"ARITHMETIC MATCH","HOLD: BASIS / RECORD"))</x:f>
      </x:c>
    </x:row>
    <x:row r="7" ht="23" customHeight="1">
      <x:c r="A7" s="38"/>
      <x:c r="B7" s="36"/>
      <x:c r="C7" s="36"/>
      <x:c r="D7" s="41" t="str">
        <x:f>IF(COUNTIF(ExAnte!$A$6:$A$55,A7)=1,IF(ISNUMBER(INDEX(ExAnte!$I$6:$I$55,MATCH(A7,ExAnte!$A$6:$A$55,0))),INDEX(ExAnte!$I$6:$I$55,MATCH(A7,ExAnte!$A$6:$A$55,0)),""),"")</x:f>
      </x:c>
      <x:c r="E7" s="41" t="str">
        <x:f>IF(COUNTIF(ExPost!$A$6:$A$55,A7)=1,IF(ISNUMBER(INDEX(ExPost!$I$6:$I$55,MATCH(A7,ExPost!$A$6:$A$55,0))),INDEX(ExPost!$I$6:$I$55,MATCH(A7,ExPost!$A$6:$A$55,0)),""),"")</x:f>
      </x:c>
      <x:c r="F7" s="41" t="str">
        <x:f>IF(COUNT(D7:E7)=2,E7-D7,"")</x:f>
      </x:c>
      <x:c r="G7" s="41" t="str">
        <x:f>IF(AND(ISNUMBER(IF(COUNTIF(ExAnte!$A$6:$A$55,A7)=1,IF(ISNUMBER(INDEX(ExAnte!$F$6:$F$55,MATCH(A7,ExAnte!$A$6:$A$55,0))),INDEX(ExAnte!$F$6:$F$55,MATCH(A7,ExAnte!$A$6:$A$55,0)),""),"")),ISNUMBER(IF(COUNTIF(ExPost!$A$6:$A$55,A7)=1,IF(ISNUMBER(INDEX(ExPost!$F$6:$F$55,MATCH(A7,ExPost!$A$6:$A$55,0))),INDEX(ExPost!$F$6:$F$55,MATCH(A7,ExPost!$A$6:$A$55,0)),""),""))),(IF(COUNTIF(ExPost!$A$6:$A$55,A7)=1,IF(ISNUMBER(INDEX(ExPost!$F$6:$F$55,MATCH(A7,ExPost!$A$6:$A$55,0))),INDEX(ExPost!$F$6:$F$55,MATCH(A7,ExPost!$A$6:$A$55,0)),""),""))-(IF(COUNTIF(ExAnte!$A$6:$A$55,A7)=1,IF(ISNUMBER(INDEX(ExAnte!$F$6:$F$55,MATCH(A7,ExAnte!$A$6:$A$55,0))),INDEX(ExAnte!$F$6:$F$55,MATCH(A7,ExAnte!$A$6:$A$55,0)),""),"")),"")</x:f>
      </x:c>
      <x:c r="H7" s="41" t="str">
        <x:f>IF(AND(ISNUMBER(IF(COUNTIF(ExAnte!$A$6:$A$55,A7)=1,IF(ISNUMBER(INDEX(ExAnte!$G$6:$G$55,MATCH(A7,ExAnte!$A$6:$A$55,0))),INDEX(ExAnte!$G$6:$G$55,MATCH(A7,ExAnte!$A$6:$A$55,0)),""),"")),ISNUMBER(IF(COUNTIF(ExPost!$A$6:$A$55,A7)=1,IF(ISNUMBER(INDEX(ExPost!$G$6:$G$55,MATCH(A7,ExPost!$A$6:$A$55,0))),INDEX(ExPost!$G$6:$G$55,MATCH(A7,ExPost!$A$6:$A$55,0)),""),""))),(IF(COUNTIF(ExPost!$A$6:$A$55,A7)=1,IF(ISNUMBER(INDEX(ExPost!$G$6:$G$55,MATCH(A7,ExPost!$A$6:$A$55,0))),INDEX(ExPost!$G$6:$G$55,MATCH(A7,ExPost!$A$6:$A$55,0)),""),""))-(IF(COUNTIF(ExAnte!$A$6:$A$55,A7)=1,IF(ISNUMBER(INDEX(ExAnte!$G$6:$G$55,MATCH(A7,ExAnte!$A$6:$A$55,0))),INDEX(ExAnte!$G$6:$G$55,MATCH(A7,ExAnte!$A$6:$A$55,0)),""),"")),"")</x:f>
      </x:c>
      <x:c r="I7" s="41" t="str">
        <x:f>IF(AND(ISNUMBER(IF(COUNTIF(ExAnte!$A$6:$A$55,A7)=1,IF(ISNUMBER(INDEX(ExAnte!$H$6:$H$55,MATCH(A7,ExAnte!$A$6:$A$55,0))),INDEX(ExAnte!$H$6:$H$55,MATCH(A7,ExAnte!$A$6:$A$55,0)),""),"")),ISNUMBER(IF(COUNTIF(ExPost!$A$6:$A$55,A7)=1,IF(ISNUMBER(INDEX(ExPost!$H$6:$H$55,MATCH(A7,ExPost!$A$6:$A$55,0))),INDEX(ExPost!$H$6:$H$55,MATCH(A7,ExPost!$A$6:$A$55,0)),""),""))),(IF(COUNTIF(ExPost!$A$6:$A$55,A7)=1,IF(ISNUMBER(INDEX(ExPost!$H$6:$H$55,MATCH(A7,ExPost!$A$6:$A$55,0))),INDEX(ExPost!$H$6:$H$55,MATCH(A7,ExPost!$A$6:$A$55,0)),""),""))-(IF(COUNTIF(ExAnte!$A$6:$A$55,A7)=1,IF(ISNUMBER(INDEX(ExAnte!$H$6:$H$55,MATCH(A7,ExAnte!$A$6:$A$55,0))),INDEX(ExAnte!$H$6:$H$55,MATCH(A7,ExAnte!$A$6:$A$55,0)),""),"")),"")</x:f>
      </x:c>
      <x:c r="J7" s="41" t="str">
        <x:f>IF(COUNT(F7:I7)=4,F7-(G7-H7-I7),"")</x:f>
      </x:c>
      <x:c r="K7" s="36"/>
      <x:c r="L7" s="41" t="str">
        <x:f>IF(A7="","",IF(AND(B7="YES",C7&lt;&gt;"",ISNUMBER(J7),ABS(J7)&lt;=Profile!$B$18),"ARITHMETIC MATCH","HOLD: BASIS / RECORD"))</x:f>
      </x:c>
    </x:row>
    <x:row r="8" ht="23" customHeight="1">
      <x:c r="A8" s="38"/>
      <x:c r="B8" s="36"/>
      <x:c r="C8" s="36"/>
      <x:c r="D8" s="41" t="str">
        <x:f>IF(COUNTIF(ExAnte!$A$6:$A$55,A8)=1,IF(ISNUMBER(INDEX(ExAnte!$I$6:$I$55,MATCH(A8,ExAnte!$A$6:$A$55,0))),INDEX(ExAnte!$I$6:$I$55,MATCH(A8,ExAnte!$A$6:$A$55,0)),""),"")</x:f>
      </x:c>
      <x:c r="E8" s="41" t="str">
        <x:f>IF(COUNTIF(ExPost!$A$6:$A$55,A8)=1,IF(ISNUMBER(INDEX(ExPost!$I$6:$I$55,MATCH(A8,ExPost!$A$6:$A$55,0))),INDEX(ExPost!$I$6:$I$55,MATCH(A8,ExPost!$A$6:$A$55,0)),""),"")</x:f>
      </x:c>
      <x:c r="F8" s="41" t="str">
        <x:f>IF(COUNT(D8:E8)=2,E8-D8,"")</x:f>
      </x:c>
      <x:c r="G8" s="41" t="str">
        <x:f>IF(AND(ISNUMBER(IF(COUNTIF(ExAnte!$A$6:$A$55,A8)=1,IF(ISNUMBER(INDEX(ExAnte!$F$6:$F$55,MATCH(A8,ExAnte!$A$6:$A$55,0))),INDEX(ExAnte!$F$6:$F$55,MATCH(A8,ExAnte!$A$6:$A$55,0)),""),"")),ISNUMBER(IF(COUNTIF(ExPost!$A$6:$A$55,A8)=1,IF(ISNUMBER(INDEX(ExPost!$F$6:$F$55,MATCH(A8,ExPost!$A$6:$A$55,0))),INDEX(ExPost!$F$6:$F$55,MATCH(A8,ExPost!$A$6:$A$55,0)),""),""))),(IF(COUNTIF(ExPost!$A$6:$A$55,A8)=1,IF(ISNUMBER(INDEX(ExPost!$F$6:$F$55,MATCH(A8,ExPost!$A$6:$A$55,0))),INDEX(ExPost!$F$6:$F$55,MATCH(A8,ExPost!$A$6:$A$55,0)),""),""))-(IF(COUNTIF(ExAnte!$A$6:$A$55,A8)=1,IF(ISNUMBER(INDEX(ExAnte!$F$6:$F$55,MATCH(A8,ExAnte!$A$6:$A$55,0))),INDEX(ExAnte!$F$6:$F$55,MATCH(A8,ExAnte!$A$6:$A$55,0)),""),"")),"")</x:f>
      </x:c>
      <x:c r="H8" s="41" t="str">
        <x:f>IF(AND(ISNUMBER(IF(COUNTIF(ExAnte!$A$6:$A$55,A8)=1,IF(ISNUMBER(INDEX(ExAnte!$G$6:$G$55,MATCH(A8,ExAnte!$A$6:$A$55,0))),INDEX(ExAnte!$G$6:$G$55,MATCH(A8,ExAnte!$A$6:$A$55,0)),""),"")),ISNUMBER(IF(COUNTIF(ExPost!$A$6:$A$55,A8)=1,IF(ISNUMBER(INDEX(ExPost!$G$6:$G$55,MATCH(A8,ExPost!$A$6:$A$55,0))),INDEX(ExPost!$G$6:$G$55,MATCH(A8,ExPost!$A$6:$A$55,0)),""),""))),(IF(COUNTIF(ExPost!$A$6:$A$55,A8)=1,IF(ISNUMBER(INDEX(ExPost!$G$6:$G$55,MATCH(A8,ExPost!$A$6:$A$55,0))),INDEX(ExPost!$G$6:$G$55,MATCH(A8,ExPost!$A$6:$A$55,0)),""),""))-(IF(COUNTIF(ExAnte!$A$6:$A$55,A8)=1,IF(ISNUMBER(INDEX(ExAnte!$G$6:$G$55,MATCH(A8,ExAnte!$A$6:$A$55,0))),INDEX(ExAnte!$G$6:$G$55,MATCH(A8,ExAnte!$A$6:$A$55,0)),""),"")),"")</x:f>
      </x:c>
      <x:c r="I8" s="41" t="str">
        <x:f>IF(AND(ISNUMBER(IF(COUNTIF(ExAnte!$A$6:$A$55,A8)=1,IF(ISNUMBER(INDEX(ExAnte!$H$6:$H$55,MATCH(A8,ExAnte!$A$6:$A$55,0))),INDEX(ExAnte!$H$6:$H$55,MATCH(A8,ExAnte!$A$6:$A$55,0)),""),"")),ISNUMBER(IF(COUNTIF(ExPost!$A$6:$A$55,A8)=1,IF(ISNUMBER(INDEX(ExPost!$H$6:$H$55,MATCH(A8,ExPost!$A$6:$A$55,0))),INDEX(ExPost!$H$6:$H$55,MATCH(A8,ExPost!$A$6:$A$55,0)),""),""))),(IF(COUNTIF(ExPost!$A$6:$A$55,A8)=1,IF(ISNUMBER(INDEX(ExPost!$H$6:$H$55,MATCH(A8,ExPost!$A$6:$A$55,0))),INDEX(ExPost!$H$6:$H$55,MATCH(A8,ExPost!$A$6:$A$55,0)),""),""))-(IF(COUNTIF(ExAnte!$A$6:$A$55,A8)=1,IF(ISNUMBER(INDEX(ExAnte!$H$6:$H$55,MATCH(A8,ExAnte!$A$6:$A$55,0))),INDEX(ExAnte!$H$6:$H$55,MATCH(A8,ExAnte!$A$6:$A$55,0)),""),"")),"")</x:f>
      </x:c>
      <x:c r="J8" s="41" t="str">
        <x:f>IF(COUNT(F8:I8)=4,F8-(G8-H8-I8),"")</x:f>
      </x:c>
      <x:c r="K8" s="36"/>
      <x:c r="L8" s="41" t="str">
        <x:f>IF(A8="","",IF(AND(B8="YES",C8&lt;&gt;"",ISNUMBER(J8),ABS(J8)&lt;=Profile!$B$18),"ARITHMETIC MATCH","HOLD: BASIS / RECORD"))</x:f>
      </x:c>
    </x:row>
    <x:row r="9" ht="23" customHeight="1">
      <x:c r="A9" s="38"/>
      <x:c r="B9" s="36"/>
      <x:c r="C9" s="36"/>
      <x:c r="D9" s="41" t="str">
        <x:f>IF(COUNTIF(ExAnte!$A$6:$A$55,A9)=1,IF(ISNUMBER(INDEX(ExAnte!$I$6:$I$55,MATCH(A9,ExAnte!$A$6:$A$55,0))),INDEX(ExAnte!$I$6:$I$55,MATCH(A9,ExAnte!$A$6:$A$55,0)),""),"")</x:f>
      </x:c>
      <x:c r="E9" s="41" t="str">
        <x:f>IF(COUNTIF(ExPost!$A$6:$A$55,A9)=1,IF(ISNUMBER(INDEX(ExPost!$I$6:$I$55,MATCH(A9,ExPost!$A$6:$A$55,0))),INDEX(ExPost!$I$6:$I$55,MATCH(A9,ExPost!$A$6:$A$55,0)),""),"")</x:f>
      </x:c>
      <x:c r="F9" s="41" t="str">
        <x:f>IF(COUNT(D9:E9)=2,E9-D9,"")</x:f>
      </x:c>
      <x:c r="G9" s="41" t="str">
        <x:f>IF(AND(ISNUMBER(IF(COUNTIF(ExAnte!$A$6:$A$55,A9)=1,IF(ISNUMBER(INDEX(ExAnte!$F$6:$F$55,MATCH(A9,ExAnte!$A$6:$A$55,0))),INDEX(ExAnte!$F$6:$F$55,MATCH(A9,ExAnte!$A$6:$A$55,0)),""),"")),ISNUMBER(IF(COUNTIF(ExPost!$A$6:$A$55,A9)=1,IF(ISNUMBER(INDEX(ExPost!$F$6:$F$55,MATCH(A9,ExPost!$A$6:$A$55,0))),INDEX(ExPost!$F$6:$F$55,MATCH(A9,ExPost!$A$6:$A$55,0)),""),""))),(IF(COUNTIF(ExPost!$A$6:$A$55,A9)=1,IF(ISNUMBER(INDEX(ExPost!$F$6:$F$55,MATCH(A9,ExPost!$A$6:$A$55,0))),INDEX(ExPost!$F$6:$F$55,MATCH(A9,ExPost!$A$6:$A$55,0)),""),""))-(IF(COUNTIF(ExAnte!$A$6:$A$55,A9)=1,IF(ISNUMBER(INDEX(ExAnte!$F$6:$F$55,MATCH(A9,ExAnte!$A$6:$A$55,0))),INDEX(ExAnte!$F$6:$F$55,MATCH(A9,ExAnte!$A$6:$A$55,0)),""),"")),"")</x:f>
      </x:c>
      <x:c r="H9" s="41" t="str">
        <x:f>IF(AND(ISNUMBER(IF(COUNTIF(ExAnte!$A$6:$A$55,A9)=1,IF(ISNUMBER(INDEX(ExAnte!$G$6:$G$55,MATCH(A9,ExAnte!$A$6:$A$55,0))),INDEX(ExAnte!$G$6:$G$55,MATCH(A9,ExAnte!$A$6:$A$55,0)),""),"")),ISNUMBER(IF(COUNTIF(ExPost!$A$6:$A$55,A9)=1,IF(ISNUMBER(INDEX(ExPost!$G$6:$G$55,MATCH(A9,ExPost!$A$6:$A$55,0))),INDEX(ExPost!$G$6:$G$55,MATCH(A9,ExPost!$A$6:$A$55,0)),""),""))),(IF(COUNTIF(ExPost!$A$6:$A$55,A9)=1,IF(ISNUMBER(INDEX(ExPost!$G$6:$G$55,MATCH(A9,ExPost!$A$6:$A$55,0))),INDEX(ExPost!$G$6:$G$55,MATCH(A9,ExPost!$A$6:$A$55,0)),""),""))-(IF(COUNTIF(ExAnte!$A$6:$A$55,A9)=1,IF(ISNUMBER(INDEX(ExAnte!$G$6:$G$55,MATCH(A9,ExAnte!$A$6:$A$55,0))),INDEX(ExAnte!$G$6:$G$55,MATCH(A9,ExAnte!$A$6:$A$55,0)),""),"")),"")</x:f>
      </x:c>
      <x:c r="I9" s="41" t="str">
        <x:f>IF(AND(ISNUMBER(IF(COUNTIF(ExAnte!$A$6:$A$55,A9)=1,IF(ISNUMBER(INDEX(ExAnte!$H$6:$H$55,MATCH(A9,ExAnte!$A$6:$A$55,0))),INDEX(ExAnte!$H$6:$H$55,MATCH(A9,ExAnte!$A$6:$A$55,0)),""),"")),ISNUMBER(IF(COUNTIF(ExPost!$A$6:$A$55,A9)=1,IF(ISNUMBER(INDEX(ExPost!$H$6:$H$55,MATCH(A9,ExPost!$A$6:$A$55,0))),INDEX(ExPost!$H$6:$H$55,MATCH(A9,ExPost!$A$6:$A$55,0)),""),""))),(IF(COUNTIF(ExPost!$A$6:$A$55,A9)=1,IF(ISNUMBER(INDEX(ExPost!$H$6:$H$55,MATCH(A9,ExPost!$A$6:$A$55,0))),INDEX(ExPost!$H$6:$H$55,MATCH(A9,ExPost!$A$6:$A$55,0)),""),""))-(IF(COUNTIF(ExAnte!$A$6:$A$55,A9)=1,IF(ISNUMBER(INDEX(ExAnte!$H$6:$H$55,MATCH(A9,ExAnte!$A$6:$A$55,0))),INDEX(ExAnte!$H$6:$H$55,MATCH(A9,ExAnte!$A$6:$A$55,0)),""),"")),"")</x:f>
      </x:c>
      <x:c r="J9" s="41" t="str">
        <x:f>IF(COUNT(F9:I9)=4,F9-(G9-H9-I9),"")</x:f>
      </x:c>
      <x:c r="K9" s="36"/>
      <x:c r="L9" s="41" t="str">
        <x:f>IF(A9="","",IF(AND(B9="YES",C9&lt;&gt;"",ISNUMBER(J9),ABS(J9)&lt;=Profile!$B$18),"ARITHMETIC MATCH","HOLD: BASIS / RECORD"))</x:f>
      </x:c>
    </x:row>
    <x:row r="10" ht="23" customHeight="1">
      <x:c r="A10" s="38"/>
      <x:c r="B10" s="36"/>
      <x:c r="C10" s="36"/>
      <x:c r="D10" s="41" t="str">
        <x:f>IF(COUNTIF(ExAnte!$A$6:$A$55,A10)=1,IF(ISNUMBER(INDEX(ExAnte!$I$6:$I$55,MATCH(A10,ExAnte!$A$6:$A$55,0))),INDEX(ExAnte!$I$6:$I$55,MATCH(A10,ExAnte!$A$6:$A$55,0)),""),"")</x:f>
      </x:c>
      <x:c r="E10" s="41" t="str">
        <x:f>IF(COUNTIF(ExPost!$A$6:$A$55,A10)=1,IF(ISNUMBER(INDEX(ExPost!$I$6:$I$55,MATCH(A10,ExPost!$A$6:$A$55,0))),INDEX(ExPost!$I$6:$I$55,MATCH(A10,ExPost!$A$6:$A$55,0)),""),"")</x:f>
      </x:c>
      <x:c r="F10" s="41" t="str">
        <x:f>IF(COUNT(D10:E10)=2,E10-D10,"")</x:f>
      </x:c>
      <x:c r="G10" s="41" t="str">
        <x:f>IF(AND(ISNUMBER(IF(COUNTIF(ExAnte!$A$6:$A$55,A10)=1,IF(ISNUMBER(INDEX(ExAnte!$F$6:$F$55,MATCH(A10,ExAnte!$A$6:$A$55,0))),INDEX(ExAnte!$F$6:$F$55,MATCH(A10,ExAnte!$A$6:$A$55,0)),""),"")),ISNUMBER(IF(COUNTIF(ExPost!$A$6:$A$55,A10)=1,IF(ISNUMBER(INDEX(ExPost!$F$6:$F$55,MATCH(A10,ExPost!$A$6:$A$55,0))),INDEX(ExPost!$F$6:$F$55,MATCH(A10,ExPost!$A$6:$A$55,0)),""),""))),(IF(COUNTIF(ExPost!$A$6:$A$55,A10)=1,IF(ISNUMBER(INDEX(ExPost!$F$6:$F$55,MATCH(A10,ExPost!$A$6:$A$55,0))),INDEX(ExPost!$F$6:$F$55,MATCH(A10,ExPost!$A$6:$A$55,0)),""),""))-(IF(COUNTIF(ExAnte!$A$6:$A$55,A10)=1,IF(ISNUMBER(INDEX(ExAnte!$F$6:$F$55,MATCH(A10,ExAnte!$A$6:$A$55,0))),INDEX(ExAnte!$F$6:$F$55,MATCH(A10,ExAnte!$A$6:$A$55,0)),""),"")),"")</x:f>
      </x:c>
      <x:c r="H10" s="41" t="str">
        <x:f>IF(AND(ISNUMBER(IF(COUNTIF(ExAnte!$A$6:$A$55,A10)=1,IF(ISNUMBER(INDEX(ExAnte!$G$6:$G$55,MATCH(A10,ExAnte!$A$6:$A$55,0))),INDEX(ExAnte!$G$6:$G$55,MATCH(A10,ExAnte!$A$6:$A$55,0)),""),"")),ISNUMBER(IF(COUNTIF(ExPost!$A$6:$A$55,A10)=1,IF(ISNUMBER(INDEX(ExPost!$G$6:$G$55,MATCH(A10,ExPost!$A$6:$A$55,0))),INDEX(ExPost!$G$6:$G$55,MATCH(A10,ExPost!$A$6:$A$55,0)),""),""))),(IF(COUNTIF(ExPost!$A$6:$A$55,A10)=1,IF(ISNUMBER(INDEX(ExPost!$G$6:$G$55,MATCH(A10,ExPost!$A$6:$A$55,0))),INDEX(ExPost!$G$6:$G$55,MATCH(A10,ExPost!$A$6:$A$55,0)),""),""))-(IF(COUNTIF(ExAnte!$A$6:$A$55,A10)=1,IF(ISNUMBER(INDEX(ExAnte!$G$6:$G$55,MATCH(A10,ExAnte!$A$6:$A$55,0))),INDEX(ExAnte!$G$6:$G$55,MATCH(A10,ExAnte!$A$6:$A$55,0)),""),"")),"")</x:f>
      </x:c>
      <x:c r="I10" s="41" t="str">
        <x:f>IF(AND(ISNUMBER(IF(COUNTIF(ExAnte!$A$6:$A$55,A10)=1,IF(ISNUMBER(INDEX(ExAnte!$H$6:$H$55,MATCH(A10,ExAnte!$A$6:$A$55,0))),INDEX(ExAnte!$H$6:$H$55,MATCH(A10,ExAnte!$A$6:$A$55,0)),""),"")),ISNUMBER(IF(COUNTIF(ExPost!$A$6:$A$55,A10)=1,IF(ISNUMBER(INDEX(ExPost!$H$6:$H$55,MATCH(A10,ExPost!$A$6:$A$55,0))),INDEX(ExPost!$H$6:$H$55,MATCH(A10,ExPost!$A$6:$A$55,0)),""),""))),(IF(COUNTIF(ExPost!$A$6:$A$55,A10)=1,IF(ISNUMBER(INDEX(ExPost!$H$6:$H$55,MATCH(A10,ExPost!$A$6:$A$55,0))),INDEX(ExPost!$H$6:$H$55,MATCH(A10,ExPost!$A$6:$A$55,0)),""),""))-(IF(COUNTIF(ExAnte!$A$6:$A$55,A10)=1,IF(ISNUMBER(INDEX(ExAnte!$H$6:$H$55,MATCH(A10,ExAnte!$A$6:$A$55,0))),INDEX(ExAnte!$H$6:$H$55,MATCH(A10,ExAnte!$A$6:$A$55,0)),""),"")),"")</x:f>
      </x:c>
      <x:c r="J10" s="41" t="str">
        <x:f>IF(COUNT(F10:I10)=4,F10-(G10-H10-I10),"")</x:f>
      </x:c>
      <x:c r="K10" s="36"/>
      <x:c r="L10" s="41" t="str">
        <x:f>IF(A10="","",IF(AND(B10="YES",C10&lt;&gt;"",ISNUMBER(J10),ABS(J10)&lt;=Profile!$B$18),"ARITHMETIC MATCH","HOLD: BASIS / RECORD"))</x:f>
      </x:c>
    </x:row>
    <x:row r="11" ht="23" customHeight="1">
      <x:c r="A11" s="38"/>
      <x:c r="B11" s="36"/>
      <x:c r="C11" s="36"/>
      <x:c r="D11" s="41" t="str">
        <x:f>IF(COUNTIF(ExAnte!$A$6:$A$55,A11)=1,IF(ISNUMBER(INDEX(ExAnte!$I$6:$I$55,MATCH(A11,ExAnte!$A$6:$A$55,0))),INDEX(ExAnte!$I$6:$I$55,MATCH(A11,ExAnte!$A$6:$A$55,0)),""),"")</x:f>
      </x:c>
      <x:c r="E11" s="41" t="str">
        <x:f>IF(COUNTIF(ExPost!$A$6:$A$55,A11)=1,IF(ISNUMBER(INDEX(ExPost!$I$6:$I$55,MATCH(A11,ExPost!$A$6:$A$55,0))),INDEX(ExPost!$I$6:$I$55,MATCH(A11,ExPost!$A$6:$A$55,0)),""),"")</x:f>
      </x:c>
      <x:c r="F11" s="41" t="str">
        <x:f>IF(COUNT(D11:E11)=2,E11-D11,"")</x:f>
      </x:c>
      <x:c r="G11" s="41" t="str">
        <x:f>IF(AND(ISNUMBER(IF(COUNTIF(ExAnte!$A$6:$A$55,A11)=1,IF(ISNUMBER(INDEX(ExAnte!$F$6:$F$55,MATCH(A11,ExAnte!$A$6:$A$55,0))),INDEX(ExAnte!$F$6:$F$55,MATCH(A11,ExAnte!$A$6:$A$55,0)),""),"")),ISNUMBER(IF(COUNTIF(ExPost!$A$6:$A$55,A11)=1,IF(ISNUMBER(INDEX(ExPost!$F$6:$F$55,MATCH(A11,ExPost!$A$6:$A$55,0))),INDEX(ExPost!$F$6:$F$55,MATCH(A11,ExPost!$A$6:$A$55,0)),""),""))),(IF(COUNTIF(ExPost!$A$6:$A$55,A11)=1,IF(ISNUMBER(INDEX(ExPost!$F$6:$F$55,MATCH(A11,ExPost!$A$6:$A$55,0))),INDEX(ExPost!$F$6:$F$55,MATCH(A11,ExPost!$A$6:$A$55,0)),""),""))-(IF(COUNTIF(ExAnte!$A$6:$A$55,A11)=1,IF(ISNUMBER(INDEX(ExAnte!$F$6:$F$55,MATCH(A11,ExAnte!$A$6:$A$55,0))),INDEX(ExAnte!$F$6:$F$55,MATCH(A11,ExAnte!$A$6:$A$55,0)),""),"")),"")</x:f>
      </x:c>
      <x:c r="H11" s="41" t="str">
        <x:f>IF(AND(ISNUMBER(IF(COUNTIF(ExAnte!$A$6:$A$55,A11)=1,IF(ISNUMBER(INDEX(ExAnte!$G$6:$G$55,MATCH(A11,ExAnte!$A$6:$A$55,0))),INDEX(ExAnte!$G$6:$G$55,MATCH(A11,ExAnte!$A$6:$A$55,0)),""),"")),ISNUMBER(IF(COUNTIF(ExPost!$A$6:$A$55,A11)=1,IF(ISNUMBER(INDEX(ExPost!$G$6:$G$55,MATCH(A11,ExPost!$A$6:$A$55,0))),INDEX(ExPost!$G$6:$G$55,MATCH(A11,ExPost!$A$6:$A$55,0)),""),""))),(IF(COUNTIF(ExPost!$A$6:$A$55,A11)=1,IF(ISNUMBER(INDEX(ExPost!$G$6:$G$55,MATCH(A11,ExPost!$A$6:$A$55,0))),INDEX(ExPost!$G$6:$G$55,MATCH(A11,ExPost!$A$6:$A$55,0)),""),""))-(IF(COUNTIF(ExAnte!$A$6:$A$55,A11)=1,IF(ISNUMBER(INDEX(ExAnte!$G$6:$G$55,MATCH(A11,ExAnte!$A$6:$A$55,0))),INDEX(ExAnte!$G$6:$G$55,MATCH(A11,ExAnte!$A$6:$A$55,0)),""),"")),"")</x:f>
      </x:c>
      <x:c r="I11" s="41" t="str">
        <x:f>IF(AND(ISNUMBER(IF(COUNTIF(ExAnte!$A$6:$A$55,A11)=1,IF(ISNUMBER(INDEX(ExAnte!$H$6:$H$55,MATCH(A11,ExAnte!$A$6:$A$55,0))),INDEX(ExAnte!$H$6:$H$55,MATCH(A11,ExAnte!$A$6:$A$55,0)),""),"")),ISNUMBER(IF(COUNTIF(ExPost!$A$6:$A$55,A11)=1,IF(ISNUMBER(INDEX(ExPost!$H$6:$H$55,MATCH(A11,ExPost!$A$6:$A$55,0))),INDEX(ExPost!$H$6:$H$55,MATCH(A11,ExPost!$A$6:$A$55,0)),""),""))),(IF(COUNTIF(ExPost!$A$6:$A$55,A11)=1,IF(ISNUMBER(INDEX(ExPost!$H$6:$H$55,MATCH(A11,ExPost!$A$6:$A$55,0))),INDEX(ExPost!$H$6:$H$55,MATCH(A11,ExPost!$A$6:$A$55,0)),""),""))-(IF(COUNTIF(ExAnte!$A$6:$A$55,A11)=1,IF(ISNUMBER(INDEX(ExAnte!$H$6:$H$55,MATCH(A11,ExAnte!$A$6:$A$55,0))),INDEX(ExAnte!$H$6:$H$55,MATCH(A11,ExAnte!$A$6:$A$55,0)),""),"")),"")</x:f>
      </x:c>
      <x:c r="J11" s="41" t="str">
        <x:f>IF(COUNT(F11:I11)=4,F11-(G11-H11-I11),"")</x:f>
      </x:c>
      <x:c r="K11" s="36"/>
      <x:c r="L11" s="41" t="str">
        <x:f>IF(A11="","",IF(AND(B11="YES",C11&lt;&gt;"",ISNUMBER(J11),ABS(J11)&lt;=Profile!$B$18),"ARITHMETIC MATCH","HOLD: BASIS / RECORD"))</x:f>
      </x:c>
    </x:row>
    <x:row r="12" ht="23" customHeight="1">
      <x:c r="A12" s="38"/>
      <x:c r="B12" s="36"/>
      <x:c r="C12" s="36"/>
      <x:c r="D12" s="41" t="str">
        <x:f>IF(COUNTIF(ExAnte!$A$6:$A$55,A12)=1,IF(ISNUMBER(INDEX(ExAnte!$I$6:$I$55,MATCH(A12,ExAnte!$A$6:$A$55,0))),INDEX(ExAnte!$I$6:$I$55,MATCH(A12,ExAnte!$A$6:$A$55,0)),""),"")</x:f>
      </x:c>
      <x:c r="E12" s="41" t="str">
        <x:f>IF(COUNTIF(ExPost!$A$6:$A$55,A12)=1,IF(ISNUMBER(INDEX(ExPost!$I$6:$I$55,MATCH(A12,ExPost!$A$6:$A$55,0))),INDEX(ExPost!$I$6:$I$55,MATCH(A12,ExPost!$A$6:$A$55,0)),""),"")</x:f>
      </x:c>
      <x:c r="F12" s="41" t="str">
        <x:f>IF(COUNT(D12:E12)=2,E12-D12,"")</x:f>
      </x:c>
      <x:c r="G12" s="41" t="str">
        <x:f>IF(AND(ISNUMBER(IF(COUNTIF(ExAnte!$A$6:$A$55,A12)=1,IF(ISNUMBER(INDEX(ExAnte!$F$6:$F$55,MATCH(A12,ExAnte!$A$6:$A$55,0))),INDEX(ExAnte!$F$6:$F$55,MATCH(A12,ExAnte!$A$6:$A$55,0)),""),"")),ISNUMBER(IF(COUNTIF(ExPost!$A$6:$A$55,A12)=1,IF(ISNUMBER(INDEX(ExPost!$F$6:$F$55,MATCH(A12,ExPost!$A$6:$A$55,0))),INDEX(ExPost!$F$6:$F$55,MATCH(A12,ExPost!$A$6:$A$55,0)),""),""))),(IF(COUNTIF(ExPost!$A$6:$A$55,A12)=1,IF(ISNUMBER(INDEX(ExPost!$F$6:$F$55,MATCH(A12,ExPost!$A$6:$A$55,0))),INDEX(ExPost!$F$6:$F$55,MATCH(A12,ExPost!$A$6:$A$55,0)),""),""))-(IF(COUNTIF(ExAnte!$A$6:$A$55,A12)=1,IF(ISNUMBER(INDEX(ExAnte!$F$6:$F$55,MATCH(A12,ExAnte!$A$6:$A$55,0))),INDEX(ExAnte!$F$6:$F$55,MATCH(A12,ExAnte!$A$6:$A$55,0)),""),"")),"")</x:f>
      </x:c>
      <x:c r="H12" s="41" t="str">
        <x:f>IF(AND(ISNUMBER(IF(COUNTIF(ExAnte!$A$6:$A$55,A12)=1,IF(ISNUMBER(INDEX(ExAnte!$G$6:$G$55,MATCH(A12,ExAnte!$A$6:$A$55,0))),INDEX(ExAnte!$G$6:$G$55,MATCH(A12,ExAnte!$A$6:$A$55,0)),""),"")),ISNUMBER(IF(COUNTIF(ExPost!$A$6:$A$55,A12)=1,IF(ISNUMBER(INDEX(ExPost!$G$6:$G$55,MATCH(A12,ExPost!$A$6:$A$55,0))),INDEX(ExPost!$G$6:$G$55,MATCH(A12,ExPost!$A$6:$A$55,0)),""),""))),(IF(COUNTIF(ExPost!$A$6:$A$55,A12)=1,IF(ISNUMBER(INDEX(ExPost!$G$6:$G$55,MATCH(A12,ExPost!$A$6:$A$55,0))),INDEX(ExPost!$G$6:$G$55,MATCH(A12,ExPost!$A$6:$A$55,0)),""),""))-(IF(COUNTIF(ExAnte!$A$6:$A$55,A12)=1,IF(ISNUMBER(INDEX(ExAnte!$G$6:$G$55,MATCH(A12,ExAnte!$A$6:$A$55,0))),INDEX(ExAnte!$G$6:$G$55,MATCH(A12,ExAnte!$A$6:$A$55,0)),""),"")),"")</x:f>
      </x:c>
      <x:c r="I12" s="41" t="str">
        <x:f>IF(AND(ISNUMBER(IF(COUNTIF(ExAnte!$A$6:$A$55,A12)=1,IF(ISNUMBER(INDEX(ExAnte!$H$6:$H$55,MATCH(A12,ExAnte!$A$6:$A$55,0))),INDEX(ExAnte!$H$6:$H$55,MATCH(A12,ExAnte!$A$6:$A$55,0)),""),"")),ISNUMBER(IF(COUNTIF(ExPost!$A$6:$A$55,A12)=1,IF(ISNUMBER(INDEX(ExPost!$H$6:$H$55,MATCH(A12,ExPost!$A$6:$A$55,0))),INDEX(ExPost!$H$6:$H$55,MATCH(A12,ExPost!$A$6:$A$55,0)),""),""))),(IF(COUNTIF(ExPost!$A$6:$A$55,A12)=1,IF(ISNUMBER(INDEX(ExPost!$H$6:$H$55,MATCH(A12,ExPost!$A$6:$A$55,0))),INDEX(ExPost!$H$6:$H$55,MATCH(A12,ExPost!$A$6:$A$55,0)),""),""))-(IF(COUNTIF(ExAnte!$A$6:$A$55,A12)=1,IF(ISNUMBER(INDEX(ExAnte!$H$6:$H$55,MATCH(A12,ExAnte!$A$6:$A$55,0))),INDEX(ExAnte!$H$6:$H$55,MATCH(A12,ExAnte!$A$6:$A$55,0)),""),"")),"")</x:f>
      </x:c>
      <x:c r="J12" s="41" t="str">
        <x:f>IF(COUNT(F12:I12)=4,F12-(G12-H12-I12),"")</x:f>
      </x:c>
      <x:c r="K12" s="36"/>
      <x:c r="L12" s="41" t="str">
        <x:f>IF(A12="","",IF(AND(B12="YES",C12&lt;&gt;"",ISNUMBER(J12),ABS(J12)&lt;=Profile!$B$18),"ARITHMETIC MATCH","HOLD: BASIS / RECORD"))</x:f>
      </x:c>
    </x:row>
    <x:row r="13" ht="23" customHeight="1">
      <x:c r="A13" s="38"/>
      <x:c r="B13" s="36"/>
      <x:c r="C13" s="36"/>
      <x:c r="D13" s="41" t="str">
        <x:f>IF(COUNTIF(ExAnte!$A$6:$A$55,A13)=1,IF(ISNUMBER(INDEX(ExAnte!$I$6:$I$55,MATCH(A13,ExAnte!$A$6:$A$55,0))),INDEX(ExAnte!$I$6:$I$55,MATCH(A13,ExAnte!$A$6:$A$55,0)),""),"")</x:f>
      </x:c>
      <x:c r="E13" s="41" t="str">
        <x:f>IF(COUNTIF(ExPost!$A$6:$A$55,A13)=1,IF(ISNUMBER(INDEX(ExPost!$I$6:$I$55,MATCH(A13,ExPost!$A$6:$A$55,0))),INDEX(ExPost!$I$6:$I$55,MATCH(A13,ExPost!$A$6:$A$55,0)),""),"")</x:f>
      </x:c>
      <x:c r="F13" s="41" t="str">
        <x:f>IF(COUNT(D13:E13)=2,E13-D13,"")</x:f>
      </x:c>
      <x:c r="G13" s="41" t="str">
        <x:f>IF(AND(ISNUMBER(IF(COUNTIF(ExAnte!$A$6:$A$55,A13)=1,IF(ISNUMBER(INDEX(ExAnte!$F$6:$F$55,MATCH(A13,ExAnte!$A$6:$A$55,0))),INDEX(ExAnte!$F$6:$F$55,MATCH(A13,ExAnte!$A$6:$A$55,0)),""),"")),ISNUMBER(IF(COUNTIF(ExPost!$A$6:$A$55,A13)=1,IF(ISNUMBER(INDEX(ExPost!$F$6:$F$55,MATCH(A13,ExPost!$A$6:$A$55,0))),INDEX(ExPost!$F$6:$F$55,MATCH(A13,ExPost!$A$6:$A$55,0)),""),""))),(IF(COUNTIF(ExPost!$A$6:$A$55,A13)=1,IF(ISNUMBER(INDEX(ExPost!$F$6:$F$55,MATCH(A13,ExPost!$A$6:$A$55,0))),INDEX(ExPost!$F$6:$F$55,MATCH(A13,ExPost!$A$6:$A$55,0)),""),""))-(IF(COUNTIF(ExAnte!$A$6:$A$55,A13)=1,IF(ISNUMBER(INDEX(ExAnte!$F$6:$F$55,MATCH(A13,ExAnte!$A$6:$A$55,0))),INDEX(ExAnte!$F$6:$F$55,MATCH(A13,ExAnte!$A$6:$A$55,0)),""),"")),"")</x:f>
      </x:c>
      <x:c r="H13" s="41" t="str">
        <x:f>IF(AND(ISNUMBER(IF(COUNTIF(ExAnte!$A$6:$A$55,A13)=1,IF(ISNUMBER(INDEX(ExAnte!$G$6:$G$55,MATCH(A13,ExAnte!$A$6:$A$55,0))),INDEX(ExAnte!$G$6:$G$55,MATCH(A13,ExAnte!$A$6:$A$55,0)),""),"")),ISNUMBER(IF(COUNTIF(ExPost!$A$6:$A$55,A13)=1,IF(ISNUMBER(INDEX(ExPost!$G$6:$G$55,MATCH(A13,ExPost!$A$6:$A$55,0))),INDEX(ExPost!$G$6:$G$55,MATCH(A13,ExPost!$A$6:$A$55,0)),""),""))),(IF(COUNTIF(ExPost!$A$6:$A$55,A13)=1,IF(ISNUMBER(INDEX(ExPost!$G$6:$G$55,MATCH(A13,ExPost!$A$6:$A$55,0))),INDEX(ExPost!$G$6:$G$55,MATCH(A13,ExPost!$A$6:$A$55,0)),""),""))-(IF(COUNTIF(ExAnte!$A$6:$A$55,A13)=1,IF(ISNUMBER(INDEX(ExAnte!$G$6:$G$55,MATCH(A13,ExAnte!$A$6:$A$55,0))),INDEX(ExAnte!$G$6:$G$55,MATCH(A13,ExAnte!$A$6:$A$55,0)),""),"")),"")</x:f>
      </x:c>
      <x:c r="I13" s="41" t="str">
        <x:f>IF(AND(ISNUMBER(IF(COUNTIF(ExAnte!$A$6:$A$55,A13)=1,IF(ISNUMBER(INDEX(ExAnte!$H$6:$H$55,MATCH(A13,ExAnte!$A$6:$A$55,0))),INDEX(ExAnte!$H$6:$H$55,MATCH(A13,ExAnte!$A$6:$A$55,0)),""),"")),ISNUMBER(IF(COUNTIF(ExPost!$A$6:$A$55,A13)=1,IF(ISNUMBER(INDEX(ExPost!$H$6:$H$55,MATCH(A13,ExPost!$A$6:$A$55,0))),INDEX(ExPost!$H$6:$H$55,MATCH(A13,ExPost!$A$6:$A$55,0)),""),""))),(IF(COUNTIF(ExPost!$A$6:$A$55,A13)=1,IF(ISNUMBER(INDEX(ExPost!$H$6:$H$55,MATCH(A13,ExPost!$A$6:$A$55,0))),INDEX(ExPost!$H$6:$H$55,MATCH(A13,ExPost!$A$6:$A$55,0)),""),""))-(IF(COUNTIF(ExAnte!$A$6:$A$55,A13)=1,IF(ISNUMBER(INDEX(ExAnte!$H$6:$H$55,MATCH(A13,ExAnte!$A$6:$A$55,0))),INDEX(ExAnte!$H$6:$H$55,MATCH(A13,ExAnte!$A$6:$A$55,0)),""),"")),"")</x:f>
      </x:c>
      <x:c r="J13" s="41" t="str">
        <x:f>IF(COUNT(F13:I13)=4,F13-(G13-H13-I13),"")</x:f>
      </x:c>
      <x:c r="K13" s="36"/>
      <x:c r="L13" s="41" t="str">
        <x:f>IF(A13="","",IF(AND(B13="YES",C13&lt;&gt;"",ISNUMBER(J13),ABS(J13)&lt;=Profile!$B$18),"ARITHMETIC MATCH","HOLD: BASIS / RECORD"))</x:f>
      </x:c>
    </x:row>
    <x:row r="14" ht="23" customHeight="1">
      <x:c r="A14" s="38"/>
      <x:c r="B14" s="36"/>
      <x:c r="C14" s="36"/>
      <x:c r="D14" s="41" t="str">
        <x:f>IF(COUNTIF(ExAnte!$A$6:$A$55,A14)=1,IF(ISNUMBER(INDEX(ExAnte!$I$6:$I$55,MATCH(A14,ExAnte!$A$6:$A$55,0))),INDEX(ExAnte!$I$6:$I$55,MATCH(A14,ExAnte!$A$6:$A$55,0)),""),"")</x:f>
      </x:c>
      <x:c r="E14" s="41" t="str">
        <x:f>IF(COUNTIF(ExPost!$A$6:$A$55,A14)=1,IF(ISNUMBER(INDEX(ExPost!$I$6:$I$55,MATCH(A14,ExPost!$A$6:$A$55,0))),INDEX(ExPost!$I$6:$I$55,MATCH(A14,ExPost!$A$6:$A$55,0)),""),"")</x:f>
      </x:c>
      <x:c r="F14" s="41" t="str">
        <x:f>IF(COUNT(D14:E14)=2,E14-D14,"")</x:f>
      </x:c>
      <x:c r="G14" s="41" t="str">
        <x:f>IF(AND(ISNUMBER(IF(COUNTIF(ExAnte!$A$6:$A$55,A14)=1,IF(ISNUMBER(INDEX(ExAnte!$F$6:$F$55,MATCH(A14,ExAnte!$A$6:$A$55,0))),INDEX(ExAnte!$F$6:$F$55,MATCH(A14,ExAnte!$A$6:$A$55,0)),""),"")),ISNUMBER(IF(COUNTIF(ExPost!$A$6:$A$55,A14)=1,IF(ISNUMBER(INDEX(ExPost!$F$6:$F$55,MATCH(A14,ExPost!$A$6:$A$55,0))),INDEX(ExPost!$F$6:$F$55,MATCH(A14,ExPost!$A$6:$A$55,0)),""),""))),(IF(COUNTIF(ExPost!$A$6:$A$55,A14)=1,IF(ISNUMBER(INDEX(ExPost!$F$6:$F$55,MATCH(A14,ExPost!$A$6:$A$55,0))),INDEX(ExPost!$F$6:$F$55,MATCH(A14,ExPost!$A$6:$A$55,0)),""),""))-(IF(COUNTIF(ExAnte!$A$6:$A$55,A14)=1,IF(ISNUMBER(INDEX(ExAnte!$F$6:$F$55,MATCH(A14,ExAnte!$A$6:$A$55,0))),INDEX(ExAnte!$F$6:$F$55,MATCH(A14,ExAnte!$A$6:$A$55,0)),""),"")),"")</x:f>
      </x:c>
      <x:c r="H14" s="41" t="str">
        <x:f>IF(AND(ISNUMBER(IF(COUNTIF(ExAnte!$A$6:$A$55,A14)=1,IF(ISNUMBER(INDEX(ExAnte!$G$6:$G$55,MATCH(A14,ExAnte!$A$6:$A$55,0))),INDEX(ExAnte!$G$6:$G$55,MATCH(A14,ExAnte!$A$6:$A$55,0)),""),"")),ISNUMBER(IF(COUNTIF(ExPost!$A$6:$A$55,A14)=1,IF(ISNUMBER(INDEX(ExPost!$G$6:$G$55,MATCH(A14,ExPost!$A$6:$A$55,0))),INDEX(ExPost!$G$6:$G$55,MATCH(A14,ExPost!$A$6:$A$55,0)),""),""))),(IF(COUNTIF(ExPost!$A$6:$A$55,A14)=1,IF(ISNUMBER(INDEX(ExPost!$G$6:$G$55,MATCH(A14,ExPost!$A$6:$A$55,0))),INDEX(ExPost!$G$6:$G$55,MATCH(A14,ExPost!$A$6:$A$55,0)),""),""))-(IF(COUNTIF(ExAnte!$A$6:$A$55,A14)=1,IF(ISNUMBER(INDEX(ExAnte!$G$6:$G$55,MATCH(A14,ExAnte!$A$6:$A$55,0))),INDEX(ExAnte!$G$6:$G$55,MATCH(A14,ExAnte!$A$6:$A$55,0)),""),"")),"")</x:f>
      </x:c>
      <x:c r="I14" s="41" t="str">
        <x:f>IF(AND(ISNUMBER(IF(COUNTIF(ExAnte!$A$6:$A$55,A14)=1,IF(ISNUMBER(INDEX(ExAnte!$H$6:$H$55,MATCH(A14,ExAnte!$A$6:$A$55,0))),INDEX(ExAnte!$H$6:$H$55,MATCH(A14,ExAnte!$A$6:$A$55,0)),""),"")),ISNUMBER(IF(COUNTIF(ExPost!$A$6:$A$55,A14)=1,IF(ISNUMBER(INDEX(ExPost!$H$6:$H$55,MATCH(A14,ExPost!$A$6:$A$55,0))),INDEX(ExPost!$H$6:$H$55,MATCH(A14,ExPost!$A$6:$A$55,0)),""),""))),(IF(COUNTIF(ExPost!$A$6:$A$55,A14)=1,IF(ISNUMBER(INDEX(ExPost!$H$6:$H$55,MATCH(A14,ExPost!$A$6:$A$55,0))),INDEX(ExPost!$H$6:$H$55,MATCH(A14,ExPost!$A$6:$A$55,0)),""),""))-(IF(COUNTIF(ExAnte!$A$6:$A$55,A14)=1,IF(ISNUMBER(INDEX(ExAnte!$H$6:$H$55,MATCH(A14,ExAnte!$A$6:$A$55,0))),INDEX(ExAnte!$H$6:$H$55,MATCH(A14,ExAnte!$A$6:$A$55,0)),""),"")),"")</x:f>
      </x:c>
      <x:c r="J14" s="41" t="str">
        <x:f>IF(COUNT(F14:I14)=4,F14-(G14-H14-I14),"")</x:f>
      </x:c>
      <x:c r="K14" s="36"/>
      <x:c r="L14" s="41" t="str">
        <x:f>IF(A14="","",IF(AND(B14="YES",C14&lt;&gt;"",ISNUMBER(J14),ABS(J14)&lt;=Profile!$B$18),"ARITHMETIC MATCH","HOLD: BASIS / RECORD"))</x:f>
      </x:c>
    </x:row>
    <x:row r="15" ht="23" customHeight="1">
      <x:c r="A15" s="38"/>
      <x:c r="B15" s="36"/>
      <x:c r="C15" s="36"/>
      <x:c r="D15" s="41" t="str">
        <x:f>IF(COUNTIF(ExAnte!$A$6:$A$55,A15)=1,IF(ISNUMBER(INDEX(ExAnte!$I$6:$I$55,MATCH(A15,ExAnte!$A$6:$A$55,0))),INDEX(ExAnte!$I$6:$I$55,MATCH(A15,ExAnte!$A$6:$A$55,0)),""),"")</x:f>
      </x:c>
      <x:c r="E15" s="41" t="str">
        <x:f>IF(COUNTIF(ExPost!$A$6:$A$55,A15)=1,IF(ISNUMBER(INDEX(ExPost!$I$6:$I$55,MATCH(A15,ExPost!$A$6:$A$55,0))),INDEX(ExPost!$I$6:$I$55,MATCH(A15,ExPost!$A$6:$A$55,0)),""),"")</x:f>
      </x:c>
      <x:c r="F15" s="41" t="str">
        <x:f>IF(COUNT(D15:E15)=2,E15-D15,"")</x:f>
      </x:c>
      <x:c r="G15" s="41" t="str">
        <x:f>IF(AND(ISNUMBER(IF(COUNTIF(ExAnte!$A$6:$A$55,A15)=1,IF(ISNUMBER(INDEX(ExAnte!$F$6:$F$55,MATCH(A15,ExAnte!$A$6:$A$55,0))),INDEX(ExAnte!$F$6:$F$55,MATCH(A15,ExAnte!$A$6:$A$55,0)),""),"")),ISNUMBER(IF(COUNTIF(ExPost!$A$6:$A$55,A15)=1,IF(ISNUMBER(INDEX(ExPost!$F$6:$F$55,MATCH(A15,ExPost!$A$6:$A$55,0))),INDEX(ExPost!$F$6:$F$55,MATCH(A15,ExPost!$A$6:$A$55,0)),""),""))),(IF(COUNTIF(ExPost!$A$6:$A$55,A15)=1,IF(ISNUMBER(INDEX(ExPost!$F$6:$F$55,MATCH(A15,ExPost!$A$6:$A$55,0))),INDEX(ExPost!$F$6:$F$55,MATCH(A15,ExPost!$A$6:$A$55,0)),""),""))-(IF(COUNTIF(ExAnte!$A$6:$A$55,A15)=1,IF(ISNUMBER(INDEX(ExAnte!$F$6:$F$55,MATCH(A15,ExAnte!$A$6:$A$55,0))),INDEX(ExAnte!$F$6:$F$55,MATCH(A15,ExAnte!$A$6:$A$55,0)),""),"")),"")</x:f>
      </x:c>
      <x:c r="H15" s="41" t="str">
        <x:f>IF(AND(ISNUMBER(IF(COUNTIF(ExAnte!$A$6:$A$55,A15)=1,IF(ISNUMBER(INDEX(ExAnte!$G$6:$G$55,MATCH(A15,ExAnte!$A$6:$A$55,0))),INDEX(ExAnte!$G$6:$G$55,MATCH(A15,ExAnte!$A$6:$A$55,0)),""),"")),ISNUMBER(IF(COUNTIF(ExPost!$A$6:$A$55,A15)=1,IF(ISNUMBER(INDEX(ExPost!$G$6:$G$55,MATCH(A15,ExPost!$A$6:$A$55,0))),INDEX(ExPost!$G$6:$G$55,MATCH(A15,ExPost!$A$6:$A$55,0)),""),""))),(IF(COUNTIF(ExPost!$A$6:$A$55,A15)=1,IF(ISNUMBER(INDEX(ExPost!$G$6:$G$55,MATCH(A15,ExPost!$A$6:$A$55,0))),INDEX(ExPost!$G$6:$G$55,MATCH(A15,ExPost!$A$6:$A$55,0)),""),""))-(IF(COUNTIF(ExAnte!$A$6:$A$55,A15)=1,IF(ISNUMBER(INDEX(ExAnte!$G$6:$G$55,MATCH(A15,ExAnte!$A$6:$A$55,0))),INDEX(ExAnte!$G$6:$G$55,MATCH(A15,ExAnte!$A$6:$A$55,0)),""),"")),"")</x:f>
      </x:c>
      <x:c r="I15" s="41" t="str">
        <x:f>IF(AND(ISNUMBER(IF(COUNTIF(ExAnte!$A$6:$A$55,A15)=1,IF(ISNUMBER(INDEX(ExAnte!$H$6:$H$55,MATCH(A15,ExAnte!$A$6:$A$55,0))),INDEX(ExAnte!$H$6:$H$55,MATCH(A15,ExAnte!$A$6:$A$55,0)),""),"")),ISNUMBER(IF(COUNTIF(ExPost!$A$6:$A$55,A15)=1,IF(ISNUMBER(INDEX(ExPost!$H$6:$H$55,MATCH(A15,ExPost!$A$6:$A$55,0))),INDEX(ExPost!$H$6:$H$55,MATCH(A15,ExPost!$A$6:$A$55,0)),""),""))),(IF(COUNTIF(ExPost!$A$6:$A$55,A15)=1,IF(ISNUMBER(INDEX(ExPost!$H$6:$H$55,MATCH(A15,ExPost!$A$6:$A$55,0))),INDEX(ExPost!$H$6:$H$55,MATCH(A15,ExPost!$A$6:$A$55,0)),""),""))-(IF(COUNTIF(ExAnte!$A$6:$A$55,A15)=1,IF(ISNUMBER(INDEX(ExAnte!$H$6:$H$55,MATCH(A15,ExAnte!$A$6:$A$55,0))),INDEX(ExAnte!$H$6:$H$55,MATCH(A15,ExAnte!$A$6:$A$55,0)),""),"")),"")</x:f>
      </x:c>
      <x:c r="J15" s="41" t="str">
        <x:f>IF(COUNT(F15:I15)=4,F15-(G15-H15-I15),"")</x:f>
      </x:c>
      <x:c r="K15" s="36"/>
      <x:c r="L15" s="41" t="str">
        <x:f>IF(A15="","",IF(AND(B15="YES",C15&lt;&gt;"",ISNUMBER(J15),ABS(J15)&lt;=Profile!$B$18),"ARITHMETIC MATCH","HOLD: BASIS / RECORD"))</x:f>
      </x:c>
    </x:row>
    <x:row r="16" ht="23" customHeight="1">
      <x:c r="A16" s="38"/>
      <x:c r="B16" s="36"/>
      <x:c r="C16" s="36"/>
      <x:c r="D16" s="41" t="str">
        <x:f>IF(COUNTIF(ExAnte!$A$6:$A$55,A16)=1,IF(ISNUMBER(INDEX(ExAnte!$I$6:$I$55,MATCH(A16,ExAnte!$A$6:$A$55,0))),INDEX(ExAnte!$I$6:$I$55,MATCH(A16,ExAnte!$A$6:$A$55,0)),""),"")</x:f>
      </x:c>
      <x:c r="E16" s="41" t="str">
        <x:f>IF(COUNTIF(ExPost!$A$6:$A$55,A16)=1,IF(ISNUMBER(INDEX(ExPost!$I$6:$I$55,MATCH(A16,ExPost!$A$6:$A$55,0))),INDEX(ExPost!$I$6:$I$55,MATCH(A16,ExPost!$A$6:$A$55,0)),""),"")</x:f>
      </x:c>
      <x:c r="F16" s="41" t="str">
        <x:f>IF(COUNT(D16:E16)=2,E16-D16,"")</x:f>
      </x:c>
      <x:c r="G16" s="41" t="str">
        <x:f>IF(AND(ISNUMBER(IF(COUNTIF(ExAnte!$A$6:$A$55,A16)=1,IF(ISNUMBER(INDEX(ExAnte!$F$6:$F$55,MATCH(A16,ExAnte!$A$6:$A$55,0))),INDEX(ExAnte!$F$6:$F$55,MATCH(A16,ExAnte!$A$6:$A$55,0)),""),"")),ISNUMBER(IF(COUNTIF(ExPost!$A$6:$A$55,A16)=1,IF(ISNUMBER(INDEX(ExPost!$F$6:$F$55,MATCH(A16,ExPost!$A$6:$A$55,0))),INDEX(ExPost!$F$6:$F$55,MATCH(A16,ExPost!$A$6:$A$55,0)),""),""))),(IF(COUNTIF(ExPost!$A$6:$A$55,A16)=1,IF(ISNUMBER(INDEX(ExPost!$F$6:$F$55,MATCH(A16,ExPost!$A$6:$A$55,0))),INDEX(ExPost!$F$6:$F$55,MATCH(A16,ExPost!$A$6:$A$55,0)),""),""))-(IF(COUNTIF(ExAnte!$A$6:$A$55,A16)=1,IF(ISNUMBER(INDEX(ExAnte!$F$6:$F$55,MATCH(A16,ExAnte!$A$6:$A$55,0))),INDEX(ExAnte!$F$6:$F$55,MATCH(A16,ExAnte!$A$6:$A$55,0)),""),"")),"")</x:f>
      </x:c>
      <x:c r="H16" s="41" t="str">
        <x:f>IF(AND(ISNUMBER(IF(COUNTIF(ExAnte!$A$6:$A$55,A16)=1,IF(ISNUMBER(INDEX(ExAnte!$G$6:$G$55,MATCH(A16,ExAnte!$A$6:$A$55,0))),INDEX(ExAnte!$G$6:$G$55,MATCH(A16,ExAnte!$A$6:$A$55,0)),""),"")),ISNUMBER(IF(COUNTIF(ExPost!$A$6:$A$55,A16)=1,IF(ISNUMBER(INDEX(ExPost!$G$6:$G$55,MATCH(A16,ExPost!$A$6:$A$55,0))),INDEX(ExPost!$G$6:$G$55,MATCH(A16,ExPost!$A$6:$A$55,0)),""),""))),(IF(COUNTIF(ExPost!$A$6:$A$55,A16)=1,IF(ISNUMBER(INDEX(ExPost!$G$6:$G$55,MATCH(A16,ExPost!$A$6:$A$55,0))),INDEX(ExPost!$G$6:$G$55,MATCH(A16,ExPost!$A$6:$A$55,0)),""),""))-(IF(COUNTIF(ExAnte!$A$6:$A$55,A16)=1,IF(ISNUMBER(INDEX(ExAnte!$G$6:$G$55,MATCH(A16,ExAnte!$A$6:$A$55,0))),INDEX(ExAnte!$G$6:$G$55,MATCH(A16,ExAnte!$A$6:$A$55,0)),""),"")),"")</x:f>
      </x:c>
      <x:c r="I16" s="41" t="str">
        <x:f>IF(AND(ISNUMBER(IF(COUNTIF(ExAnte!$A$6:$A$55,A16)=1,IF(ISNUMBER(INDEX(ExAnte!$H$6:$H$55,MATCH(A16,ExAnte!$A$6:$A$55,0))),INDEX(ExAnte!$H$6:$H$55,MATCH(A16,ExAnte!$A$6:$A$55,0)),""),"")),ISNUMBER(IF(COUNTIF(ExPost!$A$6:$A$55,A16)=1,IF(ISNUMBER(INDEX(ExPost!$H$6:$H$55,MATCH(A16,ExPost!$A$6:$A$55,0))),INDEX(ExPost!$H$6:$H$55,MATCH(A16,ExPost!$A$6:$A$55,0)),""),""))),(IF(COUNTIF(ExPost!$A$6:$A$55,A16)=1,IF(ISNUMBER(INDEX(ExPost!$H$6:$H$55,MATCH(A16,ExPost!$A$6:$A$55,0))),INDEX(ExPost!$H$6:$H$55,MATCH(A16,ExPost!$A$6:$A$55,0)),""),""))-(IF(COUNTIF(ExAnte!$A$6:$A$55,A16)=1,IF(ISNUMBER(INDEX(ExAnte!$H$6:$H$55,MATCH(A16,ExAnte!$A$6:$A$55,0))),INDEX(ExAnte!$H$6:$H$55,MATCH(A16,ExAnte!$A$6:$A$55,0)),""),"")),"")</x:f>
      </x:c>
      <x:c r="J16" s="41" t="str">
        <x:f>IF(COUNT(F16:I16)=4,F16-(G16-H16-I16),"")</x:f>
      </x:c>
      <x:c r="K16" s="36"/>
      <x:c r="L16" s="41" t="str">
        <x:f>IF(A16="","",IF(AND(B16="YES",C16&lt;&gt;"",ISNUMBER(J16),ABS(J16)&lt;=Profile!$B$18),"ARITHMETIC MATCH","HOLD: BASIS / RECORD"))</x:f>
      </x:c>
    </x:row>
    <x:row r="17" ht="23" customHeight="1">
      <x:c r="A17" s="38"/>
      <x:c r="B17" s="36"/>
      <x:c r="C17" s="36"/>
      <x:c r="D17" s="41" t="str">
        <x:f>IF(COUNTIF(ExAnte!$A$6:$A$55,A17)=1,IF(ISNUMBER(INDEX(ExAnte!$I$6:$I$55,MATCH(A17,ExAnte!$A$6:$A$55,0))),INDEX(ExAnte!$I$6:$I$55,MATCH(A17,ExAnte!$A$6:$A$55,0)),""),"")</x:f>
      </x:c>
      <x:c r="E17" s="41" t="str">
        <x:f>IF(COUNTIF(ExPost!$A$6:$A$55,A17)=1,IF(ISNUMBER(INDEX(ExPost!$I$6:$I$55,MATCH(A17,ExPost!$A$6:$A$55,0))),INDEX(ExPost!$I$6:$I$55,MATCH(A17,ExPost!$A$6:$A$55,0)),""),"")</x:f>
      </x:c>
      <x:c r="F17" s="41" t="str">
        <x:f>IF(COUNT(D17:E17)=2,E17-D17,"")</x:f>
      </x:c>
      <x:c r="G17" s="41" t="str">
        <x:f>IF(AND(ISNUMBER(IF(COUNTIF(ExAnte!$A$6:$A$55,A17)=1,IF(ISNUMBER(INDEX(ExAnte!$F$6:$F$55,MATCH(A17,ExAnte!$A$6:$A$55,0))),INDEX(ExAnte!$F$6:$F$55,MATCH(A17,ExAnte!$A$6:$A$55,0)),""),"")),ISNUMBER(IF(COUNTIF(ExPost!$A$6:$A$55,A17)=1,IF(ISNUMBER(INDEX(ExPost!$F$6:$F$55,MATCH(A17,ExPost!$A$6:$A$55,0))),INDEX(ExPost!$F$6:$F$55,MATCH(A17,ExPost!$A$6:$A$55,0)),""),""))),(IF(COUNTIF(ExPost!$A$6:$A$55,A17)=1,IF(ISNUMBER(INDEX(ExPost!$F$6:$F$55,MATCH(A17,ExPost!$A$6:$A$55,0))),INDEX(ExPost!$F$6:$F$55,MATCH(A17,ExPost!$A$6:$A$55,0)),""),""))-(IF(COUNTIF(ExAnte!$A$6:$A$55,A17)=1,IF(ISNUMBER(INDEX(ExAnte!$F$6:$F$55,MATCH(A17,ExAnte!$A$6:$A$55,0))),INDEX(ExAnte!$F$6:$F$55,MATCH(A17,ExAnte!$A$6:$A$55,0)),""),"")),"")</x:f>
      </x:c>
      <x:c r="H17" s="41" t="str">
        <x:f>IF(AND(ISNUMBER(IF(COUNTIF(ExAnte!$A$6:$A$55,A17)=1,IF(ISNUMBER(INDEX(ExAnte!$G$6:$G$55,MATCH(A17,ExAnte!$A$6:$A$55,0))),INDEX(ExAnte!$G$6:$G$55,MATCH(A17,ExAnte!$A$6:$A$55,0)),""),"")),ISNUMBER(IF(COUNTIF(ExPost!$A$6:$A$55,A17)=1,IF(ISNUMBER(INDEX(ExPost!$G$6:$G$55,MATCH(A17,ExPost!$A$6:$A$55,0))),INDEX(ExPost!$G$6:$G$55,MATCH(A17,ExPost!$A$6:$A$55,0)),""),""))),(IF(COUNTIF(ExPost!$A$6:$A$55,A17)=1,IF(ISNUMBER(INDEX(ExPost!$G$6:$G$55,MATCH(A17,ExPost!$A$6:$A$55,0))),INDEX(ExPost!$G$6:$G$55,MATCH(A17,ExPost!$A$6:$A$55,0)),""),""))-(IF(COUNTIF(ExAnte!$A$6:$A$55,A17)=1,IF(ISNUMBER(INDEX(ExAnte!$G$6:$G$55,MATCH(A17,ExAnte!$A$6:$A$55,0))),INDEX(ExAnte!$G$6:$G$55,MATCH(A17,ExAnte!$A$6:$A$55,0)),""),"")),"")</x:f>
      </x:c>
      <x:c r="I17" s="41" t="str">
        <x:f>IF(AND(ISNUMBER(IF(COUNTIF(ExAnte!$A$6:$A$55,A17)=1,IF(ISNUMBER(INDEX(ExAnte!$H$6:$H$55,MATCH(A17,ExAnte!$A$6:$A$55,0))),INDEX(ExAnte!$H$6:$H$55,MATCH(A17,ExAnte!$A$6:$A$55,0)),""),"")),ISNUMBER(IF(COUNTIF(ExPost!$A$6:$A$55,A17)=1,IF(ISNUMBER(INDEX(ExPost!$H$6:$H$55,MATCH(A17,ExPost!$A$6:$A$55,0))),INDEX(ExPost!$H$6:$H$55,MATCH(A17,ExPost!$A$6:$A$55,0)),""),""))),(IF(COUNTIF(ExPost!$A$6:$A$55,A17)=1,IF(ISNUMBER(INDEX(ExPost!$H$6:$H$55,MATCH(A17,ExPost!$A$6:$A$55,0))),INDEX(ExPost!$H$6:$H$55,MATCH(A17,ExPost!$A$6:$A$55,0)),""),""))-(IF(COUNTIF(ExAnte!$A$6:$A$55,A17)=1,IF(ISNUMBER(INDEX(ExAnte!$H$6:$H$55,MATCH(A17,ExAnte!$A$6:$A$55,0))),INDEX(ExAnte!$H$6:$H$55,MATCH(A17,ExAnte!$A$6:$A$55,0)),""),"")),"")</x:f>
      </x:c>
      <x:c r="J17" s="41" t="str">
        <x:f>IF(COUNT(F17:I17)=4,F17-(G17-H17-I17),"")</x:f>
      </x:c>
      <x:c r="K17" s="36"/>
      <x:c r="L17" s="41" t="str">
        <x:f>IF(A17="","",IF(AND(B17="YES",C17&lt;&gt;"",ISNUMBER(J17),ABS(J17)&lt;=Profile!$B$18),"ARITHMETIC MATCH","HOLD: BASIS / RECORD"))</x:f>
      </x:c>
    </x:row>
    <x:row r="18" ht="23" customHeight="1">
      <x:c r="A18" s="38"/>
      <x:c r="B18" s="36"/>
      <x:c r="C18" s="36"/>
      <x:c r="D18" s="41" t="str">
        <x:f>IF(COUNTIF(ExAnte!$A$6:$A$55,A18)=1,IF(ISNUMBER(INDEX(ExAnte!$I$6:$I$55,MATCH(A18,ExAnte!$A$6:$A$55,0))),INDEX(ExAnte!$I$6:$I$55,MATCH(A18,ExAnte!$A$6:$A$55,0)),""),"")</x:f>
      </x:c>
      <x:c r="E18" s="41" t="str">
        <x:f>IF(COUNTIF(ExPost!$A$6:$A$55,A18)=1,IF(ISNUMBER(INDEX(ExPost!$I$6:$I$55,MATCH(A18,ExPost!$A$6:$A$55,0))),INDEX(ExPost!$I$6:$I$55,MATCH(A18,ExPost!$A$6:$A$55,0)),""),"")</x:f>
      </x:c>
      <x:c r="F18" s="41" t="str">
        <x:f>IF(COUNT(D18:E18)=2,E18-D18,"")</x:f>
      </x:c>
      <x:c r="G18" s="41" t="str">
        <x:f>IF(AND(ISNUMBER(IF(COUNTIF(ExAnte!$A$6:$A$55,A18)=1,IF(ISNUMBER(INDEX(ExAnte!$F$6:$F$55,MATCH(A18,ExAnte!$A$6:$A$55,0))),INDEX(ExAnte!$F$6:$F$55,MATCH(A18,ExAnte!$A$6:$A$55,0)),""),"")),ISNUMBER(IF(COUNTIF(ExPost!$A$6:$A$55,A18)=1,IF(ISNUMBER(INDEX(ExPost!$F$6:$F$55,MATCH(A18,ExPost!$A$6:$A$55,0))),INDEX(ExPost!$F$6:$F$55,MATCH(A18,ExPost!$A$6:$A$55,0)),""),""))),(IF(COUNTIF(ExPost!$A$6:$A$55,A18)=1,IF(ISNUMBER(INDEX(ExPost!$F$6:$F$55,MATCH(A18,ExPost!$A$6:$A$55,0))),INDEX(ExPost!$F$6:$F$55,MATCH(A18,ExPost!$A$6:$A$55,0)),""),""))-(IF(COUNTIF(ExAnte!$A$6:$A$55,A18)=1,IF(ISNUMBER(INDEX(ExAnte!$F$6:$F$55,MATCH(A18,ExAnte!$A$6:$A$55,0))),INDEX(ExAnte!$F$6:$F$55,MATCH(A18,ExAnte!$A$6:$A$55,0)),""),"")),"")</x:f>
      </x:c>
      <x:c r="H18" s="41" t="str">
        <x:f>IF(AND(ISNUMBER(IF(COUNTIF(ExAnte!$A$6:$A$55,A18)=1,IF(ISNUMBER(INDEX(ExAnte!$G$6:$G$55,MATCH(A18,ExAnte!$A$6:$A$55,0))),INDEX(ExAnte!$G$6:$G$55,MATCH(A18,ExAnte!$A$6:$A$55,0)),""),"")),ISNUMBER(IF(COUNTIF(ExPost!$A$6:$A$55,A18)=1,IF(ISNUMBER(INDEX(ExPost!$G$6:$G$55,MATCH(A18,ExPost!$A$6:$A$55,0))),INDEX(ExPost!$G$6:$G$55,MATCH(A18,ExPost!$A$6:$A$55,0)),""),""))),(IF(COUNTIF(ExPost!$A$6:$A$55,A18)=1,IF(ISNUMBER(INDEX(ExPost!$G$6:$G$55,MATCH(A18,ExPost!$A$6:$A$55,0))),INDEX(ExPost!$G$6:$G$55,MATCH(A18,ExPost!$A$6:$A$55,0)),""),""))-(IF(COUNTIF(ExAnte!$A$6:$A$55,A18)=1,IF(ISNUMBER(INDEX(ExAnte!$G$6:$G$55,MATCH(A18,ExAnte!$A$6:$A$55,0))),INDEX(ExAnte!$G$6:$G$55,MATCH(A18,ExAnte!$A$6:$A$55,0)),""),"")),"")</x:f>
      </x:c>
      <x:c r="I18" s="41" t="str">
        <x:f>IF(AND(ISNUMBER(IF(COUNTIF(ExAnte!$A$6:$A$55,A18)=1,IF(ISNUMBER(INDEX(ExAnte!$H$6:$H$55,MATCH(A18,ExAnte!$A$6:$A$55,0))),INDEX(ExAnte!$H$6:$H$55,MATCH(A18,ExAnte!$A$6:$A$55,0)),""),"")),ISNUMBER(IF(COUNTIF(ExPost!$A$6:$A$55,A18)=1,IF(ISNUMBER(INDEX(ExPost!$H$6:$H$55,MATCH(A18,ExPost!$A$6:$A$55,0))),INDEX(ExPost!$H$6:$H$55,MATCH(A18,ExPost!$A$6:$A$55,0)),""),""))),(IF(COUNTIF(ExPost!$A$6:$A$55,A18)=1,IF(ISNUMBER(INDEX(ExPost!$H$6:$H$55,MATCH(A18,ExPost!$A$6:$A$55,0))),INDEX(ExPost!$H$6:$H$55,MATCH(A18,ExPost!$A$6:$A$55,0)),""),""))-(IF(COUNTIF(ExAnte!$A$6:$A$55,A18)=1,IF(ISNUMBER(INDEX(ExAnte!$H$6:$H$55,MATCH(A18,ExAnte!$A$6:$A$55,0))),INDEX(ExAnte!$H$6:$H$55,MATCH(A18,ExAnte!$A$6:$A$55,0)),""),"")),"")</x:f>
      </x:c>
      <x:c r="J18" s="41" t="str">
        <x:f>IF(COUNT(F18:I18)=4,F18-(G18-H18-I18),"")</x:f>
      </x:c>
      <x:c r="K18" s="36"/>
      <x:c r="L18" s="41" t="str">
        <x:f>IF(A18="","",IF(AND(B18="YES",C18&lt;&gt;"",ISNUMBER(J18),ABS(J18)&lt;=Profile!$B$18),"ARITHMETIC MATCH","HOLD: BASIS / RECORD"))</x:f>
      </x:c>
    </x:row>
    <x:row r="19" ht="23" customHeight="1">
      <x:c r="A19" s="38"/>
      <x:c r="B19" s="36"/>
      <x:c r="C19" s="36"/>
      <x:c r="D19" s="41" t="str">
        <x:f>IF(COUNTIF(ExAnte!$A$6:$A$55,A19)=1,IF(ISNUMBER(INDEX(ExAnte!$I$6:$I$55,MATCH(A19,ExAnte!$A$6:$A$55,0))),INDEX(ExAnte!$I$6:$I$55,MATCH(A19,ExAnte!$A$6:$A$55,0)),""),"")</x:f>
      </x:c>
      <x:c r="E19" s="41" t="str">
        <x:f>IF(COUNTIF(ExPost!$A$6:$A$55,A19)=1,IF(ISNUMBER(INDEX(ExPost!$I$6:$I$55,MATCH(A19,ExPost!$A$6:$A$55,0))),INDEX(ExPost!$I$6:$I$55,MATCH(A19,ExPost!$A$6:$A$55,0)),""),"")</x:f>
      </x:c>
      <x:c r="F19" s="41" t="str">
        <x:f>IF(COUNT(D19:E19)=2,E19-D19,"")</x:f>
      </x:c>
      <x:c r="G19" s="41" t="str">
        <x:f>IF(AND(ISNUMBER(IF(COUNTIF(ExAnte!$A$6:$A$55,A19)=1,IF(ISNUMBER(INDEX(ExAnte!$F$6:$F$55,MATCH(A19,ExAnte!$A$6:$A$55,0))),INDEX(ExAnte!$F$6:$F$55,MATCH(A19,ExAnte!$A$6:$A$55,0)),""),"")),ISNUMBER(IF(COUNTIF(ExPost!$A$6:$A$55,A19)=1,IF(ISNUMBER(INDEX(ExPost!$F$6:$F$55,MATCH(A19,ExPost!$A$6:$A$55,0))),INDEX(ExPost!$F$6:$F$55,MATCH(A19,ExPost!$A$6:$A$55,0)),""),""))),(IF(COUNTIF(ExPost!$A$6:$A$55,A19)=1,IF(ISNUMBER(INDEX(ExPost!$F$6:$F$55,MATCH(A19,ExPost!$A$6:$A$55,0))),INDEX(ExPost!$F$6:$F$55,MATCH(A19,ExPost!$A$6:$A$55,0)),""),""))-(IF(COUNTIF(ExAnte!$A$6:$A$55,A19)=1,IF(ISNUMBER(INDEX(ExAnte!$F$6:$F$55,MATCH(A19,ExAnte!$A$6:$A$55,0))),INDEX(ExAnte!$F$6:$F$55,MATCH(A19,ExAnte!$A$6:$A$55,0)),""),"")),"")</x:f>
      </x:c>
      <x:c r="H19" s="41" t="str">
        <x:f>IF(AND(ISNUMBER(IF(COUNTIF(ExAnte!$A$6:$A$55,A19)=1,IF(ISNUMBER(INDEX(ExAnte!$G$6:$G$55,MATCH(A19,ExAnte!$A$6:$A$55,0))),INDEX(ExAnte!$G$6:$G$55,MATCH(A19,ExAnte!$A$6:$A$55,0)),""),"")),ISNUMBER(IF(COUNTIF(ExPost!$A$6:$A$55,A19)=1,IF(ISNUMBER(INDEX(ExPost!$G$6:$G$55,MATCH(A19,ExPost!$A$6:$A$55,0))),INDEX(ExPost!$G$6:$G$55,MATCH(A19,ExPost!$A$6:$A$55,0)),""),""))),(IF(COUNTIF(ExPost!$A$6:$A$55,A19)=1,IF(ISNUMBER(INDEX(ExPost!$G$6:$G$55,MATCH(A19,ExPost!$A$6:$A$55,0))),INDEX(ExPost!$G$6:$G$55,MATCH(A19,ExPost!$A$6:$A$55,0)),""),""))-(IF(COUNTIF(ExAnte!$A$6:$A$55,A19)=1,IF(ISNUMBER(INDEX(ExAnte!$G$6:$G$55,MATCH(A19,ExAnte!$A$6:$A$55,0))),INDEX(ExAnte!$G$6:$G$55,MATCH(A19,ExAnte!$A$6:$A$55,0)),""),"")),"")</x:f>
      </x:c>
      <x:c r="I19" s="41" t="str">
        <x:f>IF(AND(ISNUMBER(IF(COUNTIF(ExAnte!$A$6:$A$55,A19)=1,IF(ISNUMBER(INDEX(ExAnte!$H$6:$H$55,MATCH(A19,ExAnte!$A$6:$A$55,0))),INDEX(ExAnte!$H$6:$H$55,MATCH(A19,ExAnte!$A$6:$A$55,0)),""),"")),ISNUMBER(IF(COUNTIF(ExPost!$A$6:$A$55,A19)=1,IF(ISNUMBER(INDEX(ExPost!$H$6:$H$55,MATCH(A19,ExPost!$A$6:$A$55,0))),INDEX(ExPost!$H$6:$H$55,MATCH(A19,ExPost!$A$6:$A$55,0)),""),""))),(IF(COUNTIF(ExPost!$A$6:$A$55,A19)=1,IF(ISNUMBER(INDEX(ExPost!$H$6:$H$55,MATCH(A19,ExPost!$A$6:$A$55,0))),INDEX(ExPost!$H$6:$H$55,MATCH(A19,ExPost!$A$6:$A$55,0)),""),""))-(IF(COUNTIF(ExAnte!$A$6:$A$55,A19)=1,IF(ISNUMBER(INDEX(ExAnte!$H$6:$H$55,MATCH(A19,ExAnte!$A$6:$A$55,0))),INDEX(ExAnte!$H$6:$H$55,MATCH(A19,ExAnte!$A$6:$A$55,0)),""),"")),"")</x:f>
      </x:c>
      <x:c r="J19" s="41" t="str">
        <x:f>IF(COUNT(F19:I19)=4,F19-(G19-H19-I19),"")</x:f>
      </x:c>
      <x:c r="K19" s="36"/>
      <x:c r="L19" s="41" t="str">
        <x:f>IF(A19="","",IF(AND(B19="YES",C19&lt;&gt;"",ISNUMBER(J19),ABS(J19)&lt;=Profile!$B$18),"ARITHMETIC MATCH","HOLD: BASIS / RECORD"))</x:f>
      </x:c>
    </x:row>
    <x:row r="20" ht="23" customHeight="1">
      <x:c r="A20" s="38"/>
      <x:c r="B20" s="36"/>
      <x:c r="C20" s="36"/>
      <x:c r="D20" s="41" t="str">
        <x:f>IF(COUNTIF(ExAnte!$A$6:$A$55,A20)=1,IF(ISNUMBER(INDEX(ExAnte!$I$6:$I$55,MATCH(A20,ExAnte!$A$6:$A$55,0))),INDEX(ExAnte!$I$6:$I$55,MATCH(A20,ExAnte!$A$6:$A$55,0)),""),"")</x:f>
      </x:c>
      <x:c r="E20" s="41" t="str">
        <x:f>IF(COUNTIF(ExPost!$A$6:$A$55,A20)=1,IF(ISNUMBER(INDEX(ExPost!$I$6:$I$55,MATCH(A20,ExPost!$A$6:$A$55,0))),INDEX(ExPost!$I$6:$I$55,MATCH(A20,ExPost!$A$6:$A$55,0)),""),"")</x:f>
      </x:c>
      <x:c r="F20" s="41" t="str">
        <x:f>IF(COUNT(D20:E20)=2,E20-D20,"")</x:f>
      </x:c>
      <x:c r="G20" s="41" t="str">
        <x:f>IF(AND(ISNUMBER(IF(COUNTIF(ExAnte!$A$6:$A$55,A20)=1,IF(ISNUMBER(INDEX(ExAnte!$F$6:$F$55,MATCH(A20,ExAnte!$A$6:$A$55,0))),INDEX(ExAnte!$F$6:$F$55,MATCH(A20,ExAnte!$A$6:$A$55,0)),""),"")),ISNUMBER(IF(COUNTIF(ExPost!$A$6:$A$55,A20)=1,IF(ISNUMBER(INDEX(ExPost!$F$6:$F$55,MATCH(A20,ExPost!$A$6:$A$55,0))),INDEX(ExPost!$F$6:$F$55,MATCH(A20,ExPost!$A$6:$A$55,0)),""),""))),(IF(COUNTIF(ExPost!$A$6:$A$55,A20)=1,IF(ISNUMBER(INDEX(ExPost!$F$6:$F$55,MATCH(A20,ExPost!$A$6:$A$55,0))),INDEX(ExPost!$F$6:$F$55,MATCH(A20,ExPost!$A$6:$A$55,0)),""),""))-(IF(COUNTIF(ExAnte!$A$6:$A$55,A20)=1,IF(ISNUMBER(INDEX(ExAnte!$F$6:$F$55,MATCH(A20,ExAnte!$A$6:$A$55,0))),INDEX(ExAnte!$F$6:$F$55,MATCH(A20,ExAnte!$A$6:$A$55,0)),""),"")),"")</x:f>
      </x:c>
      <x:c r="H20" s="41" t="str">
        <x:f>IF(AND(ISNUMBER(IF(COUNTIF(ExAnte!$A$6:$A$55,A20)=1,IF(ISNUMBER(INDEX(ExAnte!$G$6:$G$55,MATCH(A20,ExAnte!$A$6:$A$55,0))),INDEX(ExAnte!$G$6:$G$55,MATCH(A20,ExAnte!$A$6:$A$55,0)),""),"")),ISNUMBER(IF(COUNTIF(ExPost!$A$6:$A$55,A20)=1,IF(ISNUMBER(INDEX(ExPost!$G$6:$G$55,MATCH(A20,ExPost!$A$6:$A$55,0))),INDEX(ExPost!$G$6:$G$55,MATCH(A20,ExPost!$A$6:$A$55,0)),""),""))),(IF(COUNTIF(ExPost!$A$6:$A$55,A20)=1,IF(ISNUMBER(INDEX(ExPost!$G$6:$G$55,MATCH(A20,ExPost!$A$6:$A$55,0))),INDEX(ExPost!$G$6:$G$55,MATCH(A20,ExPost!$A$6:$A$55,0)),""),""))-(IF(COUNTIF(ExAnte!$A$6:$A$55,A20)=1,IF(ISNUMBER(INDEX(ExAnte!$G$6:$G$55,MATCH(A20,ExAnte!$A$6:$A$55,0))),INDEX(ExAnte!$G$6:$G$55,MATCH(A20,ExAnte!$A$6:$A$55,0)),""),"")),"")</x:f>
      </x:c>
      <x:c r="I20" s="41" t="str">
        <x:f>IF(AND(ISNUMBER(IF(COUNTIF(ExAnte!$A$6:$A$55,A20)=1,IF(ISNUMBER(INDEX(ExAnte!$H$6:$H$55,MATCH(A20,ExAnte!$A$6:$A$55,0))),INDEX(ExAnte!$H$6:$H$55,MATCH(A20,ExAnte!$A$6:$A$55,0)),""),"")),ISNUMBER(IF(COUNTIF(ExPost!$A$6:$A$55,A20)=1,IF(ISNUMBER(INDEX(ExPost!$H$6:$H$55,MATCH(A20,ExPost!$A$6:$A$55,0))),INDEX(ExPost!$H$6:$H$55,MATCH(A20,ExPost!$A$6:$A$55,0)),""),""))),(IF(COUNTIF(ExPost!$A$6:$A$55,A20)=1,IF(ISNUMBER(INDEX(ExPost!$H$6:$H$55,MATCH(A20,ExPost!$A$6:$A$55,0))),INDEX(ExPost!$H$6:$H$55,MATCH(A20,ExPost!$A$6:$A$55,0)),""),""))-(IF(COUNTIF(ExAnte!$A$6:$A$55,A20)=1,IF(ISNUMBER(INDEX(ExAnte!$H$6:$H$55,MATCH(A20,ExAnte!$A$6:$A$55,0))),INDEX(ExAnte!$H$6:$H$55,MATCH(A20,ExAnte!$A$6:$A$55,0)),""),"")),"")</x:f>
      </x:c>
      <x:c r="J20" s="41" t="str">
        <x:f>IF(COUNT(F20:I20)=4,F20-(G20-H20-I20),"")</x:f>
      </x:c>
      <x:c r="K20" s="36"/>
      <x:c r="L20" s="41" t="str">
        <x:f>IF(A20="","",IF(AND(B20="YES",C20&lt;&gt;"",ISNUMBER(J20),ABS(J20)&lt;=Profile!$B$18),"ARITHMETIC MATCH","HOLD: BASIS / RECORD"))</x:f>
      </x:c>
    </x:row>
    <x:row r="21" ht="23" customHeight="1">
      <x:c r="A21" s="38"/>
      <x:c r="B21" s="36"/>
      <x:c r="C21" s="36"/>
      <x:c r="D21" s="41" t="str">
        <x:f>IF(COUNTIF(ExAnte!$A$6:$A$55,A21)=1,IF(ISNUMBER(INDEX(ExAnte!$I$6:$I$55,MATCH(A21,ExAnte!$A$6:$A$55,0))),INDEX(ExAnte!$I$6:$I$55,MATCH(A21,ExAnte!$A$6:$A$55,0)),""),"")</x:f>
      </x:c>
      <x:c r="E21" s="41" t="str">
        <x:f>IF(COUNTIF(ExPost!$A$6:$A$55,A21)=1,IF(ISNUMBER(INDEX(ExPost!$I$6:$I$55,MATCH(A21,ExPost!$A$6:$A$55,0))),INDEX(ExPost!$I$6:$I$55,MATCH(A21,ExPost!$A$6:$A$55,0)),""),"")</x:f>
      </x:c>
      <x:c r="F21" s="41" t="str">
        <x:f>IF(COUNT(D21:E21)=2,E21-D21,"")</x:f>
      </x:c>
      <x:c r="G21" s="41" t="str">
        <x:f>IF(AND(ISNUMBER(IF(COUNTIF(ExAnte!$A$6:$A$55,A21)=1,IF(ISNUMBER(INDEX(ExAnte!$F$6:$F$55,MATCH(A21,ExAnte!$A$6:$A$55,0))),INDEX(ExAnte!$F$6:$F$55,MATCH(A21,ExAnte!$A$6:$A$55,0)),""),"")),ISNUMBER(IF(COUNTIF(ExPost!$A$6:$A$55,A21)=1,IF(ISNUMBER(INDEX(ExPost!$F$6:$F$55,MATCH(A21,ExPost!$A$6:$A$55,0))),INDEX(ExPost!$F$6:$F$55,MATCH(A21,ExPost!$A$6:$A$55,0)),""),""))),(IF(COUNTIF(ExPost!$A$6:$A$55,A21)=1,IF(ISNUMBER(INDEX(ExPost!$F$6:$F$55,MATCH(A21,ExPost!$A$6:$A$55,0))),INDEX(ExPost!$F$6:$F$55,MATCH(A21,ExPost!$A$6:$A$55,0)),""),""))-(IF(COUNTIF(ExAnte!$A$6:$A$55,A21)=1,IF(ISNUMBER(INDEX(ExAnte!$F$6:$F$55,MATCH(A21,ExAnte!$A$6:$A$55,0))),INDEX(ExAnte!$F$6:$F$55,MATCH(A21,ExAnte!$A$6:$A$55,0)),""),"")),"")</x:f>
      </x:c>
      <x:c r="H21" s="41" t="str">
        <x:f>IF(AND(ISNUMBER(IF(COUNTIF(ExAnte!$A$6:$A$55,A21)=1,IF(ISNUMBER(INDEX(ExAnte!$G$6:$G$55,MATCH(A21,ExAnte!$A$6:$A$55,0))),INDEX(ExAnte!$G$6:$G$55,MATCH(A21,ExAnte!$A$6:$A$55,0)),""),"")),ISNUMBER(IF(COUNTIF(ExPost!$A$6:$A$55,A21)=1,IF(ISNUMBER(INDEX(ExPost!$G$6:$G$55,MATCH(A21,ExPost!$A$6:$A$55,0))),INDEX(ExPost!$G$6:$G$55,MATCH(A21,ExPost!$A$6:$A$55,0)),""),""))),(IF(COUNTIF(ExPost!$A$6:$A$55,A21)=1,IF(ISNUMBER(INDEX(ExPost!$G$6:$G$55,MATCH(A21,ExPost!$A$6:$A$55,0))),INDEX(ExPost!$G$6:$G$55,MATCH(A21,ExPost!$A$6:$A$55,0)),""),""))-(IF(COUNTIF(ExAnte!$A$6:$A$55,A21)=1,IF(ISNUMBER(INDEX(ExAnte!$G$6:$G$55,MATCH(A21,ExAnte!$A$6:$A$55,0))),INDEX(ExAnte!$G$6:$G$55,MATCH(A21,ExAnte!$A$6:$A$55,0)),""),"")),"")</x:f>
      </x:c>
      <x:c r="I21" s="41" t="str">
        <x:f>IF(AND(ISNUMBER(IF(COUNTIF(ExAnte!$A$6:$A$55,A21)=1,IF(ISNUMBER(INDEX(ExAnte!$H$6:$H$55,MATCH(A21,ExAnte!$A$6:$A$55,0))),INDEX(ExAnte!$H$6:$H$55,MATCH(A21,ExAnte!$A$6:$A$55,0)),""),"")),ISNUMBER(IF(COUNTIF(ExPost!$A$6:$A$55,A21)=1,IF(ISNUMBER(INDEX(ExPost!$H$6:$H$55,MATCH(A21,ExPost!$A$6:$A$55,0))),INDEX(ExPost!$H$6:$H$55,MATCH(A21,ExPost!$A$6:$A$55,0)),""),""))),(IF(COUNTIF(ExPost!$A$6:$A$55,A21)=1,IF(ISNUMBER(INDEX(ExPost!$H$6:$H$55,MATCH(A21,ExPost!$A$6:$A$55,0))),INDEX(ExPost!$H$6:$H$55,MATCH(A21,ExPost!$A$6:$A$55,0)),""),""))-(IF(COUNTIF(ExAnte!$A$6:$A$55,A21)=1,IF(ISNUMBER(INDEX(ExAnte!$H$6:$H$55,MATCH(A21,ExAnte!$A$6:$A$55,0))),INDEX(ExAnte!$H$6:$H$55,MATCH(A21,ExAnte!$A$6:$A$55,0)),""),"")),"")</x:f>
      </x:c>
      <x:c r="J21" s="41" t="str">
        <x:f>IF(COUNT(F21:I21)=4,F21-(G21-H21-I21),"")</x:f>
      </x:c>
      <x:c r="K21" s="36"/>
      <x:c r="L21" s="41" t="str">
        <x:f>IF(A21="","",IF(AND(B21="YES",C21&lt;&gt;"",ISNUMBER(J21),ABS(J21)&lt;=Profile!$B$18),"ARITHMETIC MATCH","HOLD: BASIS / RECORD"))</x:f>
      </x:c>
    </x:row>
    <x:row r="22" ht="23" customHeight="1">
      <x:c r="A22" s="38"/>
      <x:c r="B22" s="36"/>
      <x:c r="C22" s="36"/>
      <x:c r="D22" s="41" t="str">
        <x:f>IF(COUNTIF(ExAnte!$A$6:$A$55,A22)=1,IF(ISNUMBER(INDEX(ExAnte!$I$6:$I$55,MATCH(A22,ExAnte!$A$6:$A$55,0))),INDEX(ExAnte!$I$6:$I$55,MATCH(A22,ExAnte!$A$6:$A$55,0)),""),"")</x:f>
      </x:c>
      <x:c r="E22" s="41" t="str">
        <x:f>IF(COUNTIF(ExPost!$A$6:$A$55,A22)=1,IF(ISNUMBER(INDEX(ExPost!$I$6:$I$55,MATCH(A22,ExPost!$A$6:$A$55,0))),INDEX(ExPost!$I$6:$I$55,MATCH(A22,ExPost!$A$6:$A$55,0)),""),"")</x:f>
      </x:c>
      <x:c r="F22" s="41" t="str">
        <x:f>IF(COUNT(D22:E22)=2,E22-D22,"")</x:f>
      </x:c>
      <x:c r="G22" s="41" t="str">
        <x:f>IF(AND(ISNUMBER(IF(COUNTIF(ExAnte!$A$6:$A$55,A22)=1,IF(ISNUMBER(INDEX(ExAnte!$F$6:$F$55,MATCH(A22,ExAnte!$A$6:$A$55,0))),INDEX(ExAnte!$F$6:$F$55,MATCH(A22,ExAnte!$A$6:$A$55,0)),""),"")),ISNUMBER(IF(COUNTIF(ExPost!$A$6:$A$55,A22)=1,IF(ISNUMBER(INDEX(ExPost!$F$6:$F$55,MATCH(A22,ExPost!$A$6:$A$55,0))),INDEX(ExPost!$F$6:$F$55,MATCH(A22,ExPost!$A$6:$A$55,0)),""),""))),(IF(COUNTIF(ExPost!$A$6:$A$55,A22)=1,IF(ISNUMBER(INDEX(ExPost!$F$6:$F$55,MATCH(A22,ExPost!$A$6:$A$55,0))),INDEX(ExPost!$F$6:$F$55,MATCH(A22,ExPost!$A$6:$A$55,0)),""),""))-(IF(COUNTIF(ExAnte!$A$6:$A$55,A22)=1,IF(ISNUMBER(INDEX(ExAnte!$F$6:$F$55,MATCH(A22,ExAnte!$A$6:$A$55,0))),INDEX(ExAnte!$F$6:$F$55,MATCH(A22,ExAnte!$A$6:$A$55,0)),""),"")),"")</x:f>
      </x:c>
      <x:c r="H22" s="41" t="str">
        <x:f>IF(AND(ISNUMBER(IF(COUNTIF(ExAnte!$A$6:$A$55,A22)=1,IF(ISNUMBER(INDEX(ExAnte!$G$6:$G$55,MATCH(A22,ExAnte!$A$6:$A$55,0))),INDEX(ExAnte!$G$6:$G$55,MATCH(A22,ExAnte!$A$6:$A$55,0)),""),"")),ISNUMBER(IF(COUNTIF(ExPost!$A$6:$A$55,A22)=1,IF(ISNUMBER(INDEX(ExPost!$G$6:$G$55,MATCH(A22,ExPost!$A$6:$A$55,0))),INDEX(ExPost!$G$6:$G$55,MATCH(A22,ExPost!$A$6:$A$55,0)),""),""))),(IF(COUNTIF(ExPost!$A$6:$A$55,A22)=1,IF(ISNUMBER(INDEX(ExPost!$G$6:$G$55,MATCH(A22,ExPost!$A$6:$A$55,0))),INDEX(ExPost!$G$6:$G$55,MATCH(A22,ExPost!$A$6:$A$55,0)),""),""))-(IF(COUNTIF(ExAnte!$A$6:$A$55,A22)=1,IF(ISNUMBER(INDEX(ExAnte!$G$6:$G$55,MATCH(A22,ExAnte!$A$6:$A$55,0))),INDEX(ExAnte!$G$6:$G$55,MATCH(A22,ExAnte!$A$6:$A$55,0)),""),"")),"")</x:f>
      </x:c>
      <x:c r="I22" s="41" t="str">
        <x:f>IF(AND(ISNUMBER(IF(COUNTIF(ExAnte!$A$6:$A$55,A22)=1,IF(ISNUMBER(INDEX(ExAnte!$H$6:$H$55,MATCH(A22,ExAnte!$A$6:$A$55,0))),INDEX(ExAnte!$H$6:$H$55,MATCH(A22,ExAnte!$A$6:$A$55,0)),""),"")),ISNUMBER(IF(COUNTIF(ExPost!$A$6:$A$55,A22)=1,IF(ISNUMBER(INDEX(ExPost!$H$6:$H$55,MATCH(A22,ExPost!$A$6:$A$55,0))),INDEX(ExPost!$H$6:$H$55,MATCH(A22,ExPost!$A$6:$A$55,0)),""),""))),(IF(COUNTIF(ExPost!$A$6:$A$55,A22)=1,IF(ISNUMBER(INDEX(ExPost!$H$6:$H$55,MATCH(A22,ExPost!$A$6:$A$55,0))),INDEX(ExPost!$H$6:$H$55,MATCH(A22,ExPost!$A$6:$A$55,0)),""),""))-(IF(COUNTIF(ExAnte!$A$6:$A$55,A22)=1,IF(ISNUMBER(INDEX(ExAnte!$H$6:$H$55,MATCH(A22,ExAnte!$A$6:$A$55,0))),INDEX(ExAnte!$H$6:$H$55,MATCH(A22,ExAnte!$A$6:$A$55,0)),""),"")),"")</x:f>
      </x:c>
      <x:c r="J22" s="41" t="str">
        <x:f>IF(COUNT(F22:I22)=4,F22-(G22-H22-I22),"")</x:f>
      </x:c>
      <x:c r="K22" s="36"/>
      <x:c r="L22" s="41" t="str">
        <x:f>IF(A22="","",IF(AND(B22="YES",C22&lt;&gt;"",ISNUMBER(J22),ABS(J22)&lt;=Profile!$B$18),"ARITHMETIC MATCH","HOLD: BASIS / RECORD"))</x:f>
      </x:c>
    </x:row>
    <x:row r="23" ht="23" customHeight="1">
      <x:c r="A23" s="38"/>
      <x:c r="B23" s="36"/>
      <x:c r="C23" s="36"/>
      <x:c r="D23" s="41" t="str">
        <x:f>IF(COUNTIF(ExAnte!$A$6:$A$55,A23)=1,IF(ISNUMBER(INDEX(ExAnte!$I$6:$I$55,MATCH(A23,ExAnte!$A$6:$A$55,0))),INDEX(ExAnte!$I$6:$I$55,MATCH(A23,ExAnte!$A$6:$A$55,0)),""),"")</x:f>
      </x:c>
      <x:c r="E23" s="41" t="str">
        <x:f>IF(COUNTIF(ExPost!$A$6:$A$55,A23)=1,IF(ISNUMBER(INDEX(ExPost!$I$6:$I$55,MATCH(A23,ExPost!$A$6:$A$55,0))),INDEX(ExPost!$I$6:$I$55,MATCH(A23,ExPost!$A$6:$A$55,0)),""),"")</x:f>
      </x:c>
      <x:c r="F23" s="41" t="str">
        <x:f>IF(COUNT(D23:E23)=2,E23-D23,"")</x:f>
      </x:c>
      <x:c r="G23" s="41" t="str">
        <x:f>IF(AND(ISNUMBER(IF(COUNTIF(ExAnte!$A$6:$A$55,A23)=1,IF(ISNUMBER(INDEX(ExAnte!$F$6:$F$55,MATCH(A23,ExAnte!$A$6:$A$55,0))),INDEX(ExAnte!$F$6:$F$55,MATCH(A23,ExAnte!$A$6:$A$55,0)),""),"")),ISNUMBER(IF(COUNTIF(ExPost!$A$6:$A$55,A23)=1,IF(ISNUMBER(INDEX(ExPost!$F$6:$F$55,MATCH(A23,ExPost!$A$6:$A$55,0))),INDEX(ExPost!$F$6:$F$55,MATCH(A23,ExPost!$A$6:$A$55,0)),""),""))),(IF(COUNTIF(ExPost!$A$6:$A$55,A23)=1,IF(ISNUMBER(INDEX(ExPost!$F$6:$F$55,MATCH(A23,ExPost!$A$6:$A$55,0))),INDEX(ExPost!$F$6:$F$55,MATCH(A23,ExPost!$A$6:$A$55,0)),""),""))-(IF(COUNTIF(ExAnte!$A$6:$A$55,A23)=1,IF(ISNUMBER(INDEX(ExAnte!$F$6:$F$55,MATCH(A23,ExAnte!$A$6:$A$55,0))),INDEX(ExAnte!$F$6:$F$55,MATCH(A23,ExAnte!$A$6:$A$55,0)),""),"")),"")</x:f>
      </x:c>
      <x:c r="H23" s="41" t="str">
        <x:f>IF(AND(ISNUMBER(IF(COUNTIF(ExAnte!$A$6:$A$55,A23)=1,IF(ISNUMBER(INDEX(ExAnte!$G$6:$G$55,MATCH(A23,ExAnte!$A$6:$A$55,0))),INDEX(ExAnte!$G$6:$G$55,MATCH(A23,ExAnte!$A$6:$A$55,0)),""),"")),ISNUMBER(IF(COUNTIF(ExPost!$A$6:$A$55,A23)=1,IF(ISNUMBER(INDEX(ExPost!$G$6:$G$55,MATCH(A23,ExPost!$A$6:$A$55,0))),INDEX(ExPost!$G$6:$G$55,MATCH(A23,ExPost!$A$6:$A$55,0)),""),""))),(IF(COUNTIF(ExPost!$A$6:$A$55,A23)=1,IF(ISNUMBER(INDEX(ExPost!$G$6:$G$55,MATCH(A23,ExPost!$A$6:$A$55,0))),INDEX(ExPost!$G$6:$G$55,MATCH(A23,ExPost!$A$6:$A$55,0)),""),""))-(IF(COUNTIF(ExAnte!$A$6:$A$55,A23)=1,IF(ISNUMBER(INDEX(ExAnte!$G$6:$G$55,MATCH(A23,ExAnte!$A$6:$A$55,0))),INDEX(ExAnte!$G$6:$G$55,MATCH(A23,ExAnte!$A$6:$A$55,0)),""),"")),"")</x:f>
      </x:c>
      <x:c r="I23" s="41" t="str">
        <x:f>IF(AND(ISNUMBER(IF(COUNTIF(ExAnte!$A$6:$A$55,A23)=1,IF(ISNUMBER(INDEX(ExAnte!$H$6:$H$55,MATCH(A23,ExAnte!$A$6:$A$55,0))),INDEX(ExAnte!$H$6:$H$55,MATCH(A23,ExAnte!$A$6:$A$55,0)),""),"")),ISNUMBER(IF(COUNTIF(ExPost!$A$6:$A$55,A23)=1,IF(ISNUMBER(INDEX(ExPost!$H$6:$H$55,MATCH(A23,ExPost!$A$6:$A$55,0))),INDEX(ExPost!$H$6:$H$55,MATCH(A23,ExPost!$A$6:$A$55,0)),""),""))),(IF(COUNTIF(ExPost!$A$6:$A$55,A23)=1,IF(ISNUMBER(INDEX(ExPost!$H$6:$H$55,MATCH(A23,ExPost!$A$6:$A$55,0))),INDEX(ExPost!$H$6:$H$55,MATCH(A23,ExPost!$A$6:$A$55,0)),""),""))-(IF(COUNTIF(ExAnte!$A$6:$A$55,A23)=1,IF(ISNUMBER(INDEX(ExAnte!$H$6:$H$55,MATCH(A23,ExAnte!$A$6:$A$55,0))),INDEX(ExAnte!$H$6:$H$55,MATCH(A23,ExAnte!$A$6:$A$55,0)),""),"")),"")</x:f>
      </x:c>
      <x:c r="J23" s="41" t="str">
        <x:f>IF(COUNT(F23:I23)=4,F23-(G23-H23-I23),"")</x:f>
      </x:c>
      <x:c r="K23" s="36"/>
      <x:c r="L23" s="41" t="str">
        <x:f>IF(A23="","",IF(AND(B23="YES",C23&lt;&gt;"",ISNUMBER(J23),ABS(J23)&lt;=Profile!$B$18),"ARITHMETIC MATCH","HOLD: BASIS / RECORD"))</x:f>
      </x:c>
    </x:row>
    <x:row r="24" ht="23" customHeight="1">
      <x:c r="A24" s="38"/>
      <x:c r="B24" s="36"/>
      <x:c r="C24" s="36"/>
      <x:c r="D24" s="41" t="str">
        <x:f>IF(COUNTIF(ExAnte!$A$6:$A$55,A24)=1,IF(ISNUMBER(INDEX(ExAnte!$I$6:$I$55,MATCH(A24,ExAnte!$A$6:$A$55,0))),INDEX(ExAnte!$I$6:$I$55,MATCH(A24,ExAnte!$A$6:$A$55,0)),""),"")</x:f>
      </x:c>
      <x:c r="E24" s="41" t="str">
        <x:f>IF(COUNTIF(ExPost!$A$6:$A$55,A24)=1,IF(ISNUMBER(INDEX(ExPost!$I$6:$I$55,MATCH(A24,ExPost!$A$6:$A$55,0))),INDEX(ExPost!$I$6:$I$55,MATCH(A24,ExPost!$A$6:$A$55,0)),""),"")</x:f>
      </x:c>
      <x:c r="F24" s="41" t="str">
        <x:f>IF(COUNT(D24:E24)=2,E24-D24,"")</x:f>
      </x:c>
      <x:c r="G24" s="41" t="str">
        <x:f>IF(AND(ISNUMBER(IF(COUNTIF(ExAnte!$A$6:$A$55,A24)=1,IF(ISNUMBER(INDEX(ExAnte!$F$6:$F$55,MATCH(A24,ExAnte!$A$6:$A$55,0))),INDEX(ExAnte!$F$6:$F$55,MATCH(A24,ExAnte!$A$6:$A$55,0)),""),"")),ISNUMBER(IF(COUNTIF(ExPost!$A$6:$A$55,A24)=1,IF(ISNUMBER(INDEX(ExPost!$F$6:$F$55,MATCH(A24,ExPost!$A$6:$A$55,0))),INDEX(ExPost!$F$6:$F$55,MATCH(A24,ExPost!$A$6:$A$55,0)),""),""))),(IF(COUNTIF(ExPost!$A$6:$A$55,A24)=1,IF(ISNUMBER(INDEX(ExPost!$F$6:$F$55,MATCH(A24,ExPost!$A$6:$A$55,0))),INDEX(ExPost!$F$6:$F$55,MATCH(A24,ExPost!$A$6:$A$55,0)),""),""))-(IF(COUNTIF(ExAnte!$A$6:$A$55,A24)=1,IF(ISNUMBER(INDEX(ExAnte!$F$6:$F$55,MATCH(A24,ExAnte!$A$6:$A$55,0))),INDEX(ExAnte!$F$6:$F$55,MATCH(A24,ExAnte!$A$6:$A$55,0)),""),"")),"")</x:f>
      </x:c>
      <x:c r="H24" s="41" t="str">
        <x:f>IF(AND(ISNUMBER(IF(COUNTIF(ExAnte!$A$6:$A$55,A24)=1,IF(ISNUMBER(INDEX(ExAnte!$G$6:$G$55,MATCH(A24,ExAnte!$A$6:$A$55,0))),INDEX(ExAnte!$G$6:$G$55,MATCH(A24,ExAnte!$A$6:$A$55,0)),""),"")),ISNUMBER(IF(COUNTIF(ExPost!$A$6:$A$55,A24)=1,IF(ISNUMBER(INDEX(ExPost!$G$6:$G$55,MATCH(A24,ExPost!$A$6:$A$55,0))),INDEX(ExPost!$G$6:$G$55,MATCH(A24,ExPost!$A$6:$A$55,0)),""),""))),(IF(COUNTIF(ExPost!$A$6:$A$55,A24)=1,IF(ISNUMBER(INDEX(ExPost!$G$6:$G$55,MATCH(A24,ExPost!$A$6:$A$55,0))),INDEX(ExPost!$G$6:$G$55,MATCH(A24,ExPost!$A$6:$A$55,0)),""),""))-(IF(COUNTIF(ExAnte!$A$6:$A$55,A24)=1,IF(ISNUMBER(INDEX(ExAnte!$G$6:$G$55,MATCH(A24,ExAnte!$A$6:$A$55,0))),INDEX(ExAnte!$G$6:$G$55,MATCH(A24,ExAnte!$A$6:$A$55,0)),""),"")),"")</x:f>
      </x:c>
      <x:c r="I24" s="41" t="str">
        <x:f>IF(AND(ISNUMBER(IF(COUNTIF(ExAnte!$A$6:$A$55,A24)=1,IF(ISNUMBER(INDEX(ExAnte!$H$6:$H$55,MATCH(A24,ExAnte!$A$6:$A$55,0))),INDEX(ExAnte!$H$6:$H$55,MATCH(A24,ExAnte!$A$6:$A$55,0)),""),"")),ISNUMBER(IF(COUNTIF(ExPost!$A$6:$A$55,A24)=1,IF(ISNUMBER(INDEX(ExPost!$H$6:$H$55,MATCH(A24,ExPost!$A$6:$A$55,0))),INDEX(ExPost!$H$6:$H$55,MATCH(A24,ExPost!$A$6:$A$55,0)),""),""))),(IF(COUNTIF(ExPost!$A$6:$A$55,A24)=1,IF(ISNUMBER(INDEX(ExPost!$H$6:$H$55,MATCH(A24,ExPost!$A$6:$A$55,0))),INDEX(ExPost!$H$6:$H$55,MATCH(A24,ExPost!$A$6:$A$55,0)),""),""))-(IF(COUNTIF(ExAnte!$A$6:$A$55,A24)=1,IF(ISNUMBER(INDEX(ExAnte!$H$6:$H$55,MATCH(A24,ExAnte!$A$6:$A$55,0))),INDEX(ExAnte!$H$6:$H$55,MATCH(A24,ExAnte!$A$6:$A$55,0)),""),"")),"")</x:f>
      </x:c>
      <x:c r="J24" s="41" t="str">
        <x:f>IF(COUNT(F24:I24)=4,F24-(G24-H24-I24),"")</x:f>
      </x:c>
      <x:c r="K24" s="36"/>
      <x:c r="L24" s="41" t="str">
        <x:f>IF(A24="","",IF(AND(B24="YES",C24&lt;&gt;"",ISNUMBER(J24),ABS(J24)&lt;=Profile!$B$18),"ARITHMETIC MATCH","HOLD: BASIS / RECORD"))</x:f>
      </x:c>
    </x:row>
    <x:row r="25" ht="23" customHeight="1">
      <x:c r="A25" s="38"/>
      <x:c r="B25" s="36"/>
      <x:c r="C25" s="36"/>
      <x:c r="D25" s="41" t="str">
        <x:f>IF(COUNTIF(ExAnte!$A$6:$A$55,A25)=1,IF(ISNUMBER(INDEX(ExAnte!$I$6:$I$55,MATCH(A25,ExAnte!$A$6:$A$55,0))),INDEX(ExAnte!$I$6:$I$55,MATCH(A25,ExAnte!$A$6:$A$55,0)),""),"")</x:f>
      </x:c>
      <x:c r="E25" s="41" t="str">
        <x:f>IF(COUNTIF(ExPost!$A$6:$A$55,A25)=1,IF(ISNUMBER(INDEX(ExPost!$I$6:$I$55,MATCH(A25,ExPost!$A$6:$A$55,0))),INDEX(ExPost!$I$6:$I$55,MATCH(A25,ExPost!$A$6:$A$55,0)),""),"")</x:f>
      </x:c>
      <x:c r="F25" s="41" t="str">
        <x:f>IF(COUNT(D25:E25)=2,E25-D25,"")</x:f>
      </x:c>
      <x:c r="G25" s="41" t="str">
        <x:f>IF(AND(ISNUMBER(IF(COUNTIF(ExAnte!$A$6:$A$55,A25)=1,IF(ISNUMBER(INDEX(ExAnte!$F$6:$F$55,MATCH(A25,ExAnte!$A$6:$A$55,0))),INDEX(ExAnte!$F$6:$F$55,MATCH(A25,ExAnte!$A$6:$A$55,0)),""),"")),ISNUMBER(IF(COUNTIF(ExPost!$A$6:$A$55,A25)=1,IF(ISNUMBER(INDEX(ExPost!$F$6:$F$55,MATCH(A25,ExPost!$A$6:$A$55,0))),INDEX(ExPost!$F$6:$F$55,MATCH(A25,ExPost!$A$6:$A$55,0)),""),""))),(IF(COUNTIF(ExPost!$A$6:$A$55,A25)=1,IF(ISNUMBER(INDEX(ExPost!$F$6:$F$55,MATCH(A25,ExPost!$A$6:$A$55,0))),INDEX(ExPost!$F$6:$F$55,MATCH(A25,ExPost!$A$6:$A$55,0)),""),""))-(IF(COUNTIF(ExAnte!$A$6:$A$55,A25)=1,IF(ISNUMBER(INDEX(ExAnte!$F$6:$F$55,MATCH(A25,ExAnte!$A$6:$A$55,0))),INDEX(ExAnte!$F$6:$F$55,MATCH(A25,ExAnte!$A$6:$A$55,0)),""),"")),"")</x:f>
      </x:c>
      <x:c r="H25" s="41" t="str">
        <x:f>IF(AND(ISNUMBER(IF(COUNTIF(ExAnte!$A$6:$A$55,A25)=1,IF(ISNUMBER(INDEX(ExAnte!$G$6:$G$55,MATCH(A25,ExAnte!$A$6:$A$55,0))),INDEX(ExAnte!$G$6:$G$55,MATCH(A25,ExAnte!$A$6:$A$55,0)),""),"")),ISNUMBER(IF(COUNTIF(ExPost!$A$6:$A$55,A25)=1,IF(ISNUMBER(INDEX(ExPost!$G$6:$G$55,MATCH(A25,ExPost!$A$6:$A$55,0))),INDEX(ExPost!$G$6:$G$55,MATCH(A25,ExPost!$A$6:$A$55,0)),""),""))),(IF(COUNTIF(ExPost!$A$6:$A$55,A25)=1,IF(ISNUMBER(INDEX(ExPost!$G$6:$G$55,MATCH(A25,ExPost!$A$6:$A$55,0))),INDEX(ExPost!$G$6:$G$55,MATCH(A25,ExPost!$A$6:$A$55,0)),""),""))-(IF(COUNTIF(ExAnte!$A$6:$A$55,A25)=1,IF(ISNUMBER(INDEX(ExAnte!$G$6:$G$55,MATCH(A25,ExAnte!$A$6:$A$55,0))),INDEX(ExAnte!$G$6:$G$55,MATCH(A25,ExAnte!$A$6:$A$55,0)),""),"")),"")</x:f>
      </x:c>
      <x:c r="I25" s="41" t="str">
        <x:f>IF(AND(ISNUMBER(IF(COUNTIF(ExAnte!$A$6:$A$55,A25)=1,IF(ISNUMBER(INDEX(ExAnte!$H$6:$H$55,MATCH(A25,ExAnte!$A$6:$A$55,0))),INDEX(ExAnte!$H$6:$H$55,MATCH(A25,ExAnte!$A$6:$A$55,0)),""),"")),ISNUMBER(IF(COUNTIF(ExPost!$A$6:$A$55,A25)=1,IF(ISNUMBER(INDEX(ExPost!$H$6:$H$55,MATCH(A25,ExPost!$A$6:$A$55,0))),INDEX(ExPost!$H$6:$H$55,MATCH(A25,ExPost!$A$6:$A$55,0)),""),""))),(IF(COUNTIF(ExPost!$A$6:$A$55,A25)=1,IF(ISNUMBER(INDEX(ExPost!$H$6:$H$55,MATCH(A25,ExPost!$A$6:$A$55,0))),INDEX(ExPost!$H$6:$H$55,MATCH(A25,ExPost!$A$6:$A$55,0)),""),""))-(IF(COUNTIF(ExAnte!$A$6:$A$55,A25)=1,IF(ISNUMBER(INDEX(ExAnte!$H$6:$H$55,MATCH(A25,ExAnte!$A$6:$A$55,0))),INDEX(ExAnte!$H$6:$H$55,MATCH(A25,ExAnte!$A$6:$A$55,0)),""),"")),"")</x:f>
      </x:c>
      <x:c r="J25" s="41" t="str">
        <x:f>IF(COUNT(F25:I25)=4,F25-(G25-H25-I25),"")</x:f>
      </x:c>
      <x:c r="K25" s="36"/>
      <x:c r="L25" s="41" t="str">
        <x:f>IF(A25="","",IF(AND(B25="YES",C25&lt;&gt;"",ISNUMBER(J25),ABS(J25)&lt;=Profile!$B$18),"ARITHMETIC MATCH","HOLD: BASIS / RECORD"))</x:f>
      </x:c>
    </x:row>
    <x:row r="26" ht="23" customHeight="1">
      <x:c r="A26" s="38"/>
      <x:c r="B26" s="36"/>
      <x:c r="C26" s="36"/>
      <x:c r="D26" s="41" t="str">
        <x:f>IF(COUNTIF(ExAnte!$A$6:$A$55,A26)=1,IF(ISNUMBER(INDEX(ExAnte!$I$6:$I$55,MATCH(A26,ExAnte!$A$6:$A$55,0))),INDEX(ExAnte!$I$6:$I$55,MATCH(A26,ExAnte!$A$6:$A$55,0)),""),"")</x:f>
      </x:c>
      <x:c r="E26" s="41" t="str">
        <x:f>IF(COUNTIF(ExPost!$A$6:$A$55,A26)=1,IF(ISNUMBER(INDEX(ExPost!$I$6:$I$55,MATCH(A26,ExPost!$A$6:$A$55,0))),INDEX(ExPost!$I$6:$I$55,MATCH(A26,ExPost!$A$6:$A$55,0)),""),"")</x:f>
      </x:c>
      <x:c r="F26" s="41" t="str">
        <x:f>IF(COUNT(D26:E26)=2,E26-D26,"")</x:f>
      </x:c>
      <x:c r="G26" s="41" t="str">
        <x:f>IF(AND(ISNUMBER(IF(COUNTIF(ExAnte!$A$6:$A$55,A26)=1,IF(ISNUMBER(INDEX(ExAnte!$F$6:$F$55,MATCH(A26,ExAnte!$A$6:$A$55,0))),INDEX(ExAnte!$F$6:$F$55,MATCH(A26,ExAnte!$A$6:$A$55,0)),""),"")),ISNUMBER(IF(COUNTIF(ExPost!$A$6:$A$55,A26)=1,IF(ISNUMBER(INDEX(ExPost!$F$6:$F$55,MATCH(A26,ExPost!$A$6:$A$55,0))),INDEX(ExPost!$F$6:$F$55,MATCH(A26,ExPost!$A$6:$A$55,0)),""),""))),(IF(COUNTIF(ExPost!$A$6:$A$55,A26)=1,IF(ISNUMBER(INDEX(ExPost!$F$6:$F$55,MATCH(A26,ExPost!$A$6:$A$55,0))),INDEX(ExPost!$F$6:$F$55,MATCH(A26,ExPost!$A$6:$A$55,0)),""),""))-(IF(COUNTIF(ExAnte!$A$6:$A$55,A26)=1,IF(ISNUMBER(INDEX(ExAnte!$F$6:$F$55,MATCH(A26,ExAnte!$A$6:$A$55,0))),INDEX(ExAnte!$F$6:$F$55,MATCH(A26,ExAnte!$A$6:$A$55,0)),""),"")),"")</x:f>
      </x:c>
      <x:c r="H26" s="41" t="str">
        <x:f>IF(AND(ISNUMBER(IF(COUNTIF(ExAnte!$A$6:$A$55,A26)=1,IF(ISNUMBER(INDEX(ExAnte!$G$6:$G$55,MATCH(A26,ExAnte!$A$6:$A$55,0))),INDEX(ExAnte!$G$6:$G$55,MATCH(A26,ExAnte!$A$6:$A$55,0)),""),"")),ISNUMBER(IF(COUNTIF(ExPost!$A$6:$A$55,A26)=1,IF(ISNUMBER(INDEX(ExPost!$G$6:$G$55,MATCH(A26,ExPost!$A$6:$A$55,0))),INDEX(ExPost!$G$6:$G$55,MATCH(A26,ExPost!$A$6:$A$55,0)),""),""))),(IF(COUNTIF(ExPost!$A$6:$A$55,A26)=1,IF(ISNUMBER(INDEX(ExPost!$G$6:$G$55,MATCH(A26,ExPost!$A$6:$A$55,0))),INDEX(ExPost!$G$6:$G$55,MATCH(A26,ExPost!$A$6:$A$55,0)),""),""))-(IF(COUNTIF(ExAnte!$A$6:$A$55,A26)=1,IF(ISNUMBER(INDEX(ExAnte!$G$6:$G$55,MATCH(A26,ExAnte!$A$6:$A$55,0))),INDEX(ExAnte!$G$6:$G$55,MATCH(A26,ExAnte!$A$6:$A$55,0)),""),"")),"")</x:f>
      </x:c>
      <x:c r="I26" s="41" t="str">
        <x:f>IF(AND(ISNUMBER(IF(COUNTIF(ExAnte!$A$6:$A$55,A26)=1,IF(ISNUMBER(INDEX(ExAnte!$H$6:$H$55,MATCH(A26,ExAnte!$A$6:$A$55,0))),INDEX(ExAnte!$H$6:$H$55,MATCH(A26,ExAnte!$A$6:$A$55,0)),""),"")),ISNUMBER(IF(COUNTIF(ExPost!$A$6:$A$55,A26)=1,IF(ISNUMBER(INDEX(ExPost!$H$6:$H$55,MATCH(A26,ExPost!$A$6:$A$55,0))),INDEX(ExPost!$H$6:$H$55,MATCH(A26,ExPost!$A$6:$A$55,0)),""),""))),(IF(COUNTIF(ExPost!$A$6:$A$55,A26)=1,IF(ISNUMBER(INDEX(ExPost!$H$6:$H$55,MATCH(A26,ExPost!$A$6:$A$55,0))),INDEX(ExPost!$H$6:$H$55,MATCH(A26,ExPost!$A$6:$A$55,0)),""),""))-(IF(COUNTIF(ExAnte!$A$6:$A$55,A26)=1,IF(ISNUMBER(INDEX(ExAnte!$H$6:$H$55,MATCH(A26,ExAnte!$A$6:$A$55,0))),INDEX(ExAnte!$H$6:$H$55,MATCH(A26,ExAnte!$A$6:$A$55,0)),""),"")),"")</x:f>
      </x:c>
      <x:c r="J26" s="41" t="str">
        <x:f>IF(COUNT(F26:I26)=4,F26-(G26-H26-I26),"")</x:f>
      </x:c>
      <x:c r="K26" s="36"/>
      <x:c r="L26" s="41" t="str">
        <x:f>IF(A26="","",IF(AND(B26="YES",C26&lt;&gt;"",ISNUMBER(J26),ABS(J26)&lt;=Profile!$B$18),"ARITHMETIC MATCH","HOLD: BASIS / RECORD"))</x:f>
      </x:c>
    </x:row>
    <x:row r="27" ht="23" customHeight="1">
      <x:c r="A27" s="38"/>
      <x:c r="B27" s="36"/>
      <x:c r="C27" s="36"/>
      <x:c r="D27" s="41" t="str">
        <x:f>IF(COUNTIF(ExAnte!$A$6:$A$55,A27)=1,IF(ISNUMBER(INDEX(ExAnte!$I$6:$I$55,MATCH(A27,ExAnte!$A$6:$A$55,0))),INDEX(ExAnte!$I$6:$I$55,MATCH(A27,ExAnte!$A$6:$A$55,0)),""),"")</x:f>
      </x:c>
      <x:c r="E27" s="41" t="str">
        <x:f>IF(COUNTIF(ExPost!$A$6:$A$55,A27)=1,IF(ISNUMBER(INDEX(ExPost!$I$6:$I$55,MATCH(A27,ExPost!$A$6:$A$55,0))),INDEX(ExPost!$I$6:$I$55,MATCH(A27,ExPost!$A$6:$A$55,0)),""),"")</x:f>
      </x:c>
      <x:c r="F27" s="41" t="str">
        <x:f>IF(COUNT(D27:E27)=2,E27-D27,"")</x:f>
      </x:c>
      <x:c r="G27" s="41" t="str">
        <x:f>IF(AND(ISNUMBER(IF(COUNTIF(ExAnte!$A$6:$A$55,A27)=1,IF(ISNUMBER(INDEX(ExAnte!$F$6:$F$55,MATCH(A27,ExAnte!$A$6:$A$55,0))),INDEX(ExAnte!$F$6:$F$55,MATCH(A27,ExAnte!$A$6:$A$55,0)),""),"")),ISNUMBER(IF(COUNTIF(ExPost!$A$6:$A$55,A27)=1,IF(ISNUMBER(INDEX(ExPost!$F$6:$F$55,MATCH(A27,ExPost!$A$6:$A$55,0))),INDEX(ExPost!$F$6:$F$55,MATCH(A27,ExPost!$A$6:$A$55,0)),""),""))),(IF(COUNTIF(ExPost!$A$6:$A$55,A27)=1,IF(ISNUMBER(INDEX(ExPost!$F$6:$F$55,MATCH(A27,ExPost!$A$6:$A$55,0))),INDEX(ExPost!$F$6:$F$55,MATCH(A27,ExPost!$A$6:$A$55,0)),""),""))-(IF(COUNTIF(ExAnte!$A$6:$A$55,A27)=1,IF(ISNUMBER(INDEX(ExAnte!$F$6:$F$55,MATCH(A27,ExAnte!$A$6:$A$55,0))),INDEX(ExAnte!$F$6:$F$55,MATCH(A27,ExAnte!$A$6:$A$55,0)),""),"")),"")</x:f>
      </x:c>
      <x:c r="H27" s="41" t="str">
        <x:f>IF(AND(ISNUMBER(IF(COUNTIF(ExAnte!$A$6:$A$55,A27)=1,IF(ISNUMBER(INDEX(ExAnte!$G$6:$G$55,MATCH(A27,ExAnte!$A$6:$A$55,0))),INDEX(ExAnte!$G$6:$G$55,MATCH(A27,ExAnte!$A$6:$A$55,0)),""),"")),ISNUMBER(IF(COUNTIF(ExPost!$A$6:$A$55,A27)=1,IF(ISNUMBER(INDEX(ExPost!$G$6:$G$55,MATCH(A27,ExPost!$A$6:$A$55,0))),INDEX(ExPost!$G$6:$G$55,MATCH(A27,ExPost!$A$6:$A$55,0)),""),""))),(IF(COUNTIF(ExPost!$A$6:$A$55,A27)=1,IF(ISNUMBER(INDEX(ExPost!$G$6:$G$55,MATCH(A27,ExPost!$A$6:$A$55,0))),INDEX(ExPost!$G$6:$G$55,MATCH(A27,ExPost!$A$6:$A$55,0)),""),""))-(IF(COUNTIF(ExAnte!$A$6:$A$55,A27)=1,IF(ISNUMBER(INDEX(ExAnte!$G$6:$G$55,MATCH(A27,ExAnte!$A$6:$A$55,0))),INDEX(ExAnte!$G$6:$G$55,MATCH(A27,ExAnte!$A$6:$A$55,0)),""),"")),"")</x:f>
      </x:c>
      <x:c r="I27" s="41" t="str">
        <x:f>IF(AND(ISNUMBER(IF(COUNTIF(ExAnte!$A$6:$A$55,A27)=1,IF(ISNUMBER(INDEX(ExAnte!$H$6:$H$55,MATCH(A27,ExAnte!$A$6:$A$55,0))),INDEX(ExAnte!$H$6:$H$55,MATCH(A27,ExAnte!$A$6:$A$55,0)),""),"")),ISNUMBER(IF(COUNTIF(ExPost!$A$6:$A$55,A27)=1,IF(ISNUMBER(INDEX(ExPost!$H$6:$H$55,MATCH(A27,ExPost!$A$6:$A$55,0))),INDEX(ExPost!$H$6:$H$55,MATCH(A27,ExPost!$A$6:$A$55,0)),""),""))),(IF(COUNTIF(ExPost!$A$6:$A$55,A27)=1,IF(ISNUMBER(INDEX(ExPost!$H$6:$H$55,MATCH(A27,ExPost!$A$6:$A$55,0))),INDEX(ExPost!$H$6:$H$55,MATCH(A27,ExPost!$A$6:$A$55,0)),""),""))-(IF(COUNTIF(ExAnte!$A$6:$A$55,A27)=1,IF(ISNUMBER(INDEX(ExAnte!$H$6:$H$55,MATCH(A27,ExAnte!$A$6:$A$55,0))),INDEX(ExAnte!$H$6:$H$55,MATCH(A27,ExAnte!$A$6:$A$55,0)),""),"")),"")</x:f>
      </x:c>
      <x:c r="J27" s="41" t="str">
        <x:f>IF(COUNT(F27:I27)=4,F27-(G27-H27-I27),"")</x:f>
      </x:c>
      <x:c r="K27" s="36"/>
      <x:c r="L27" s="41" t="str">
        <x:f>IF(A27="","",IF(AND(B27="YES",C27&lt;&gt;"",ISNUMBER(J27),ABS(J27)&lt;=Profile!$B$18),"ARITHMETIC MATCH","HOLD: BASIS / RECORD"))</x:f>
      </x:c>
    </x:row>
    <x:row r="28" ht="23" customHeight="1">
      <x:c r="A28" s="38"/>
      <x:c r="B28" s="36"/>
      <x:c r="C28" s="36"/>
      <x:c r="D28" s="41" t="str">
        <x:f>IF(COUNTIF(ExAnte!$A$6:$A$55,A28)=1,IF(ISNUMBER(INDEX(ExAnte!$I$6:$I$55,MATCH(A28,ExAnte!$A$6:$A$55,0))),INDEX(ExAnte!$I$6:$I$55,MATCH(A28,ExAnte!$A$6:$A$55,0)),""),"")</x:f>
      </x:c>
      <x:c r="E28" s="41" t="str">
        <x:f>IF(COUNTIF(ExPost!$A$6:$A$55,A28)=1,IF(ISNUMBER(INDEX(ExPost!$I$6:$I$55,MATCH(A28,ExPost!$A$6:$A$55,0))),INDEX(ExPost!$I$6:$I$55,MATCH(A28,ExPost!$A$6:$A$55,0)),""),"")</x:f>
      </x:c>
      <x:c r="F28" s="41" t="str">
        <x:f>IF(COUNT(D28:E28)=2,E28-D28,"")</x:f>
      </x:c>
      <x:c r="G28" s="41" t="str">
        <x:f>IF(AND(ISNUMBER(IF(COUNTIF(ExAnte!$A$6:$A$55,A28)=1,IF(ISNUMBER(INDEX(ExAnte!$F$6:$F$55,MATCH(A28,ExAnte!$A$6:$A$55,0))),INDEX(ExAnte!$F$6:$F$55,MATCH(A28,ExAnte!$A$6:$A$55,0)),""),"")),ISNUMBER(IF(COUNTIF(ExPost!$A$6:$A$55,A28)=1,IF(ISNUMBER(INDEX(ExPost!$F$6:$F$55,MATCH(A28,ExPost!$A$6:$A$55,0))),INDEX(ExPost!$F$6:$F$55,MATCH(A28,ExPost!$A$6:$A$55,0)),""),""))),(IF(COUNTIF(ExPost!$A$6:$A$55,A28)=1,IF(ISNUMBER(INDEX(ExPost!$F$6:$F$55,MATCH(A28,ExPost!$A$6:$A$55,0))),INDEX(ExPost!$F$6:$F$55,MATCH(A28,ExPost!$A$6:$A$55,0)),""),""))-(IF(COUNTIF(ExAnte!$A$6:$A$55,A28)=1,IF(ISNUMBER(INDEX(ExAnte!$F$6:$F$55,MATCH(A28,ExAnte!$A$6:$A$55,0))),INDEX(ExAnte!$F$6:$F$55,MATCH(A28,ExAnte!$A$6:$A$55,0)),""),"")),"")</x:f>
      </x:c>
      <x:c r="H28" s="41" t="str">
        <x:f>IF(AND(ISNUMBER(IF(COUNTIF(ExAnte!$A$6:$A$55,A28)=1,IF(ISNUMBER(INDEX(ExAnte!$G$6:$G$55,MATCH(A28,ExAnte!$A$6:$A$55,0))),INDEX(ExAnte!$G$6:$G$55,MATCH(A28,ExAnte!$A$6:$A$55,0)),""),"")),ISNUMBER(IF(COUNTIF(ExPost!$A$6:$A$55,A28)=1,IF(ISNUMBER(INDEX(ExPost!$G$6:$G$55,MATCH(A28,ExPost!$A$6:$A$55,0))),INDEX(ExPost!$G$6:$G$55,MATCH(A28,ExPost!$A$6:$A$55,0)),""),""))),(IF(COUNTIF(ExPost!$A$6:$A$55,A28)=1,IF(ISNUMBER(INDEX(ExPost!$G$6:$G$55,MATCH(A28,ExPost!$A$6:$A$55,0))),INDEX(ExPost!$G$6:$G$55,MATCH(A28,ExPost!$A$6:$A$55,0)),""),""))-(IF(COUNTIF(ExAnte!$A$6:$A$55,A28)=1,IF(ISNUMBER(INDEX(ExAnte!$G$6:$G$55,MATCH(A28,ExAnte!$A$6:$A$55,0))),INDEX(ExAnte!$G$6:$G$55,MATCH(A28,ExAnte!$A$6:$A$55,0)),""),"")),"")</x:f>
      </x:c>
      <x:c r="I28" s="41" t="str">
        <x:f>IF(AND(ISNUMBER(IF(COUNTIF(ExAnte!$A$6:$A$55,A28)=1,IF(ISNUMBER(INDEX(ExAnte!$H$6:$H$55,MATCH(A28,ExAnte!$A$6:$A$55,0))),INDEX(ExAnte!$H$6:$H$55,MATCH(A28,ExAnte!$A$6:$A$55,0)),""),"")),ISNUMBER(IF(COUNTIF(ExPost!$A$6:$A$55,A28)=1,IF(ISNUMBER(INDEX(ExPost!$H$6:$H$55,MATCH(A28,ExPost!$A$6:$A$55,0))),INDEX(ExPost!$H$6:$H$55,MATCH(A28,ExPost!$A$6:$A$55,0)),""),""))),(IF(COUNTIF(ExPost!$A$6:$A$55,A28)=1,IF(ISNUMBER(INDEX(ExPost!$H$6:$H$55,MATCH(A28,ExPost!$A$6:$A$55,0))),INDEX(ExPost!$H$6:$H$55,MATCH(A28,ExPost!$A$6:$A$55,0)),""),""))-(IF(COUNTIF(ExAnte!$A$6:$A$55,A28)=1,IF(ISNUMBER(INDEX(ExAnte!$H$6:$H$55,MATCH(A28,ExAnte!$A$6:$A$55,0))),INDEX(ExAnte!$H$6:$H$55,MATCH(A28,ExAnte!$A$6:$A$55,0)),""),"")),"")</x:f>
      </x:c>
      <x:c r="J28" s="41" t="str">
        <x:f>IF(COUNT(F28:I28)=4,F28-(G28-H28-I28),"")</x:f>
      </x:c>
      <x:c r="K28" s="36"/>
      <x:c r="L28" s="41" t="str">
        <x:f>IF(A28="","",IF(AND(B28="YES",C28&lt;&gt;"",ISNUMBER(J28),ABS(J28)&lt;=Profile!$B$18),"ARITHMETIC MATCH","HOLD: BASIS / RECORD"))</x:f>
      </x:c>
    </x:row>
    <x:row r="29" ht="23" customHeight="1">
      <x:c r="A29" s="38"/>
      <x:c r="B29" s="36"/>
      <x:c r="C29" s="36"/>
      <x:c r="D29" s="41" t="str">
        <x:f>IF(COUNTIF(ExAnte!$A$6:$A$55,A29)=1,IF(ISNUMBER(INDEX(ExAnte!$I$6:$I$55,MATCH(A29,ExAnte!$A$6:$A$55,0))),INDEX(ExAnte!$I$6:$I$55,MATCH(A29,ExAnte!$A$6:$A$55,0)),""),"")</x:f>
      </x:c>
      <x:c r="E29" s="41" t="str">
        <x:f>IF(COUNTIF(ExPost!$A$6:$A$55,A29)=1,IF(ISNUMBER(INDEX(ExPost!$I$6:$I$55,MATCH(A29,ExPost!$A$6:$A$55,0))),INDEX(ExPost!$I$6:$I$55,MATCH(A29,ExPost!$A$6:$A$55,0)),""),"")</x:f>
      </x:c>
      <x:c r="F29" s="41" t="str">
        <x:f>IF(COUNT(D29:E29)=2,E29-D29,"")</x:f>
      </x:c>
      <x:c r="G29" s="41" t="str">
        <x:f>IF(AND(ISNUMBER(IF(COUNTIF(ExAnte!$A$6:$A$55,A29)=1,IF(ISNUMBER(INDEX(ExAnte!$F$6:$F$55,MATCH(A29,ExAnte!$A$6:$A$55,0))),INDEX(ExAnte!$F$6:$F$55,MATCH(A29,ExAnte!$A$6:$A$55,0)),""),"")),ISNUMBER(IF(COUNTIF(ExPost!$A$6:$A$55,A29)=1,IF(ISNUMBER(INDEX(ExPost!$F$6:$F$55,MATCH(A29,ExPost!$A$6:$A$55,0))),INDEX(ExPost!$F$6:$F$55,MATCH(A29,ExPost!$A$6:$A$55,0)),""),""))),(IF(COUNTIF(ExPost!$A$6:$A$55,A29)=1,IF(ISNUMBER(INDEX(ExPost!$F$6:$F$55,MATCH(A29,ExPost!$A$6:$A$55,0))),INDEX(ExPost!$F$6:$F$55,MATCH(A29,ExPost!$A$6:$A$55,0)),""),""))-(IF(COUNTIF(ExAnte!$A$6:$A$55,A29)=1,IF(ISNUMBER(INDEX(ExAnte!$F$6:$F$55,MATCH(A29,ExAnte!$A$6:$A$55,0))),INDEX(ExAnte!$F$6:$F$55,MATCH(A29,ExAnte!$A$6:$A$55,0)),""),"")),"")</x:f>
      </x:c>
      <x:c r="H29" s="41" t="str">
        <x:f>IF(AND(ISNUMBER(IF(COUNTIF(ExAnte!$A$6:$A$55,A29)=1,IF(ISNUMBER(INDEX(ExAnte!$G$6:$G$55,MATCH(A29,ExAnte!$A$6:$A$55,0))),INDEX(ExAnte!$G$6:$G$55,MATCH(A29,ExAnte!$A$6:$A$55,0)),""),"")),ISNUMBER(IF(COUNTIF(ExPost!$A$6:$A$55,A29)=1,IF(ISNUMBER(INDEX(ExPost!$G$6:$G$55,MATCH(A29,ExPost!$A$6:$A$55,0))),INDEX(ExPost!$G$6:$G$55,MATCH(A29,ExPost!$A$6:$A$55,0)),""),""))),(IF(COUNTIF(ExPost!$A$6:$A$55,A29)=1,IF(ISNUMBER(INDEX(ExPost!$G$6:$G$55,MATCH(A29,ExPost!$A$6:$A$55,0))),INDEX(ExPost!$G$6:$G$55,MATCH(A29,ExPost!$A$6:$A$55,0)),""),""))-(IF(COUNTIF(ExAnte!$A$6:$A$55,A29)=1,IF(ISNUMBER(INDEX(ExAnte!$G$6:$G$55,MATCH(A29,ExAnte!$A$6:$A$55,0))),INDEX(ExAnte!$G$6:$G$55,MATCH(A29,ExAnte!$A$6:$A$55,0)),""),"")),"")</x:f>
      </x:c>
      <x:c r="I29" s="41" t="str">
        <x:f>IF(AND(ISNUMBER(IF(COUNTIF(ExAnte!$A$6:$A$55,A29)=1,IF(ISNUMBER(INDEX(ExAnte!$H$6:$H$55,MATCH(A29,ExAnte!$A$6:$A$55,0))),INDEX(ExAnte!$H$6:$H$55,MATCH(A29,ExAnte!$A$6:$A$55,0)),""),"")),ISNUMBER(IF(COUNTIF(ExPost!$A$6:$A$55,A29)=1,IF(ISNUMBER(INDEX(ExPost!$H$6:$H$55,MATCH(A29,ExPost!$A$6:$A$55,0))),INDEX(ExPost!$H$6:$H$55,MATCH(A29,ExPost!$A$6:$A$55,0)),""),""))),(IF(COUNTIF(ExPost!$A$6:$A$55,A29)=1,IF(ISNUMBER(INDEX(ExPost!$H$6:$H$55,MATCH(A29,ExPost!$A$6:$A$55,0))),INDEX(ExPost!$H$6:$H$55,MATCH(A29,ExPost!$A$6:$A$55,0)),""),""))-(IF(COUNTIF(ExAnte!$A$6:$A$55,A29)=1,IF(ISNUMBER(INDEX(ExAnte!$H$6:$H$55,MATCH(A29,ExAnte!$A$6:$A$55,0))),INDEX(ExAnte!$H$6:$H$55,MATCH(A29,ExAnte!$A$6:$A$55,0)),""),"")),"")</x:f>
      </x:c>
      <x:c r="J29" s="41" t="str">
        <x:f>IF(COUNT(F29:I29)=4,F29-(G29-H29-I29),"")</x:f>
      </x:c>
      <x:c r="K29" s="36"/>
      <x:c r="L29" s="41" t="str">
        <x:f>IF(A29="","",IF(AND(B29="YES",C29&lt;&gt;"",ISNUMBER(J29),ABS(J29)&lt;=Profile!$B$18),"ARITHMETIC MATCH","HOLD: BASIS / RECORD"))</x:f>
      </x:c>
    </x:row>
    <x:row r="30" ht="23" customHeight="1">
      <x:c r="A30" s="38"/>
      <x:c r="B30" s="36"/>
      <x:c r="C30" s="36"/>
      <x:c r="D30" s="41" t="str">
        <x:f>IF(COUNTIF(ExAnte!$A$6:$A$55,A30)=1,IF(ISNUMBER(INDEX(ExAnte!$I$6:$I$55,MATCH(A30,ExAnte!$A$6:$A$55,0))),INDEX(ExAnte!$I$6:$I$55,MATCH(A30,ExAnte!$A$6:$A$55,0)),""),"")</x:f>
      </x:c>
      <x:c r="E30" s="41" t="str">
        <x:f>IF(COUNTIF(ExPost!$A$6:$A$55,A30)=1,IF(ISNUMBER(INDEX(ExPost!$I$6:$I$55,MATCH(A30,ExPost!$A$6:$A$55,0))),INDEX(ExPost!$I$6:$I$55,MATCH(A30,ExPost!$A$6:$A$55,0)),""),"")</x:f>
      </x:c>
      <x:c r="F30" s="41" t="str">
        <x:f>IF(COUNT(D30:E30)=2,E30-D30,"")</x:f>
      </x:c>
      <x:c r="G30" s="41" t="str">
        <x:f>IF(AND(ISNUMBER(IF(COUNTIF(ExAnte!$A$6:$A$55,A30)=1,IF(ISNUMBER(INDEX(ExAnte!$F$6:$F$55,MATCH(A30,ExAnte!$A$6:$A$55,0))),INDEX(ExAnte!$F$6:$F$55,MATCH(A30,ExAnte!$A$6:$A$55,0)),""),"")),ISNUMBER(IF(COUNTIF(ExPost!$A$6:$A$55,A30)=1,IF(ISNUMBER(INDEX(ExPost!$F$6:$F$55,MATCH(A30,ExPost!$A$6:$A$55,0))),INDEX(ExPost!$F$6:$F$55,MATCH(A30,ExPost!$A$6:$A$55,0)),""),""))),(IF(COUNTIF(ExPost!$A$6:$A$55,A30)=1,IF(ISNUMBER(INDEX(ExPost!$F$6:$F$55,MATCH(A30,ExPost!$A$6:$A$55,0))),INDEX(ExPost!$F$6:$F$55,MATCH(A30,ExPost!$A$6:$A$55,0)),""),""))-(IF(COUNTIF(ExAnte!$A$6:$A$55,A30)=1,IF(ISNUMBER(INDEX(ExAnte!$F$6:$F$55,MATCH(A30,ExAnte!$A$6:$A$55,0))),INDEX(ExAnte!$F$6:$F$55,MATCH(A30,ExAnte!$A$6:$A$55,0)),""),"")),"")</x:f>
      </x:c>
      <x:c r="H30" s="41" t="str">
        <x:f>IF(AND(ISNUMBER(IF(COUNTIF(ExAnte!$A$6:$A$55,A30)=1,IF(ISNUMBER(INDEX(ExAnte!$G$6:$G$55,MATCH(A30,ExAnte!$A$6:$A$55,0))),INDEX(ExAnte!$G$6:$G$55,MATCH(A30,ExAnte!$A$6:$A$55,0)),""),"")),ISNUMBER(IF(COUNTIF(ExPost!$A$6:$A$55,A30)=1,IF(ISNUMBER(INDEX(ExPost!$G$6:$G$55,MATCH(A30,ExPost!$A$6:$A$55,0))),INDEX(ExPost!$G$6:$G$55,MATCH(A30,ExPost!$A$6:$A$55,0)),""),""))),(IF(COUNTIF(ExPost!$A$6:$A$55,A30)=1,IF(ISNUMBER(INDEX(ExPost!$G$6:$G$55,MATCH(A30,ExPost!$A$6:$A$55,0))),INDEX(ExPost!$G$6:$G$55,MATCH(A30,ExPost!$A$6:$A$55,0)),""),""))-(IF(COUNTIF(ExAnte!$A$6:$A$55,A30)=1,IF(ISNUMBER(INDEX(ExAnte!$G$6:$G$55,MATCH(A30,ExAnte!$A$6:$A$55,0))),INDEX(ExAnte!$G$6:$G$55,MATCH(A30,ExAnte!$A$6:$A$55,0)),""),"")),"")</x:f>
      </x:c>
      <x:c r="I30" s="41" t="str">
        <x:f>IF(AND(ISNUMBER(IF(COUNTIF(ExAnte!$A$6:$A$55,A30)=1,IF(ISNUMBER(INDEX(ExAnte!$H$6:$H$55,MATCH(A30,ExAnte!$A$6:$A$55,0))),INDEX(ExAnte!$H$6:$H$55,MATCH(A30,ExAnte!$A$6:$A$55,0)),""),"")),ISNUMBER(IF(COUNTIF(ExPost!$A$6:$A$55,A30)=1,IF(ISNUMBER(INDEX(ExPost!$H$6:$H$55,MATCH(A30,ExPost!$A$6:$A$55,0))),INDEX(ExPost!$H$6:$H$55,MATCH(A30,ExPost!$A$6:$A$55,0)),""),""))),(IF(COUNTIF(ExPost!$A$6:$A$55,A30)=1,IF(ISNUMBER(INDEX(ExPost!$H$6:$H$55,MATCH(A30,ExPost!$A$6:$A$55,0))),INDEX(ExPost!$H$6:$H$55,MATCH(A30,ExPost!$A$6:$A$55,0)),""),""))-(IF(COUNTIF(ExAnte!$A$6:$A$55,A30)=1,IF(ISNUMBER(INDEX(ExAnte!$H$6:$H$55,MATCH(A30,ExAnte!$A$6:$A$55,0))),INDEX(ExAnte!$H$6:$H$55,MATCH(A30,ExAnte!$A$6:$A$55,0)),""),"")),"")</x:f>
      </x:c>
      <x:c r="J30" s="41" t="str">
        <x:f>IF(COUNT(F30:I30)=4,F30-(G30-H30-I30),"")</x:f>
      </x:c>
      <x:c r="K30" s="36"/>
      <x:c r="L30" s="41" t="str">
        <x:f>IF(A30="","",IF(AND(B30="YES",C30&lt;&gt;"",ISNUMBER(J30),ABS(J30)&lt;=Profile!$B$18),"ARITHMETIC MATCH","HOLD: BASIS / RECORD"))</x:f>
      </x:c>
    </x:row>
    <x:row r="31" ht="23" customHeight="1">
      <x:c r="A31" s="38"/>
      <x:c r="B31" s="36"/>
      <x:c r="C31" s="36"/>
      <x:c r="D31" s="41" t="str">
        <x:f>IF(COUNTIF(ExAnte!$A$6:$A$55,A31)=1,IF(ISNUMBER(INDEX(ExAnte!$I$6:$I$55,MATCH(A31,ExAnte!$A$6:$A$55,0))),INDEX(ExAnte!$I$6:$I$55,MATCH(A31,ExAnte!$A$6:$A$55,0)),""),"")</x:f>
      </x:c>
      <x:c r="E31" s="41" t="str">
        <x:f>IF(COUNTIF(ExPost!$A$6:$A$55,A31)=1,IF(ISNUMBER(INDEX(ExPost!$I$6:$I$55,MATCH(A31,ExPost!$A$6:$A$55,0))),INDEX(ExPost!$I$6:$I$55,MATCH(A31,ExPost!$A$6:$A$55,0)),""),"")</x:f>
      </x:c>
      <x:c r="F31" s="41" t="str">
        <x:f>IF(COUNT(D31:E31)=2,E31-D31,"")</x:f>
      </x:c>
      <x:c r="G31" s="41" t="str">
        <x:f>IF(AND(ISNUMBER(IF(COUNTIF(ExAnte!$A$6:$A$55,A31)=1,IF(ISNUMBER(INDEX(ExAnte!$F$6:$F$55,MATCH(A31,ExAnte!$A$6:$A$55,0))),INDEX(ExAnte!$F$6:$F$55,MATCH(A31,ExAnte!$A$6:$A$55,0)),""),"")),ISNUMBER(IF(COUNTIF(ExPost!$A$6:$A$55,A31)=1,IF(ISNUMBER(INDEX(ExPost!$F$6:$F$55,MATCH(A31,ExPost!$A$6:$A$55,0))),INDEX(ExPost!$F$6:$F$55,MATCH(A31,ExPost!$A$6:$A$55,0)),""),""))),(IF(COUNTIF(ExPost!$A$6:$A$55,A31)=1,IF(ISNUMBER(INDEX(ExPost!$F$6:$F$55,MATCH(A31,ExPost!$A$6:$A$55,0))),INDEX(ExPost!$F$6:$F$55,MATCH(A31,ExPost!$A$6:$A$55,0)),""),""))-(IF(COUNTIF(ExAnte!$A$6:$A$55,A31)=1,IF(ISNUMBER(INDEX(ExAnte!$F$6:$F$55,MATCH(A31,ExAnte!$A$6:$A$55,0))),INDEX(ExAnte!$F$6:$F$55,MATCH(A31,ExAnte!$A$6:$A$55,0)),""),"")),"")</x:f>
      </x:c>
      <x:c r="H31" s="41" t="str">
        <x:f>IF(AND(ISNUMBER(IF(COUNTIF(ExAnte!$A$6:$A$55,A31)=1,IF(ISNUMBER(INDEX(ExAnte!$G$6:$G$55,MATCH(A31,ExAnte!$A$6:$A$55,0))),INDEX(ExAnte!$G$6:$G$55,MATCH(A31,ExAnte!$A$6:$A$55,0)),""),"")),ISNUMBER(IF(COUNTIF(ExPost!$A$6:$A$55,A31)=1,IF(ISNUMBER(INDEX(ExPost!$G$6:$G$55,MATCH(A31,ExPost!$A$6:$A$55,0))),INDEX(ExPost!$G$6:$G$55,MATCH(A31,ExPost!$A$6:$A$55,0)),""),""))),(IF(COUNTIF(ExPost!$A$6:$A$55,A31)=1,IF(ISNUMBER(INDEX(ExPost!$G$6:$G$55,MATCH(A31,ExPost!$A$6:$A$55,0))),INDEX(ExPost!$G$6:$G$55,MATCH(A31,ExPost!$A$6:$A$55,0)),""),""))-(IF(COUNTIF(ExAnte!$A$6:$A$55,A31)=1,IF(ISNUMBER(INDEX(ExAnte!$G$6:$G$55,MATCH(A31,ExAnte!$A$6:$A$55,0))),INDEX(ExAnte!$G$6:$G$55,MATCH(A31,ExAnte!$A$6:$A$55,0)),""),"")),"")</x:f>
      </x:c>
      <x:c r="I31" s="41" t="str">
        <x:f>IF(AND(ISNUMBER(IF(COUNTIF(ExAnte!$A$6:$A$55,A31)=1,IF(ISNUMBER(INDEX(ExAnte!$H$6:$H$55,MATCH(A31,ExAnte!$A$6:$A$55,0))),INDEX(ExAnte!$H$6:$H$55,MATCH(A31,ExAnte!$A$6:$A$55,0)),""),"")),ISNUMBER(IF(COUNTIF(ExPost!$A$6:$A$55,A31)=1,IF(ISNUMBER(INDEX(ExPost!$H$6:$H$55,MATCH(A31,ExPost!$A$6:$A$55,0))),INDEX(ExPost!$H$6:$H$55,MATCH(A31,ExPost!$A$6:$A$55,0)),""),""))),(IF(COUNTIF(ExPost!$A$6:$A$55,A31)=1,IF(ISNUMBER(INDEX(ExPost!$H$6:$H$55,MATCH(A31,ExPost!$A$6:$A$55,0))),INDEX(ExPost!$H$6:$H$55,MATCH(A31,ExPost!$A$6:$A$55,0)),""),""))-(IF(COUNTIF(ExAnte!$A$6:$A$55,A31)=1,IF(ISNUMBER(INDEX(ExAnte!$H$6:$H$55,MATCH(A31,ExAnte!$A$6:$A$55,0))),INDEX(ExAnte!$H$6:$H$55,MATCH(A31,ExAnte!$A$6:$A$55,0)),""),"")),"")</x:f>
      </x:c>
      <x:c r="J31" s="41" t="str">
        <x:f>IF(COUNT(F31:I31)=4,F31-(G31-H31-I31),"")</x:f>
      </x:c>
      <x:c r="K31" s="36"/>
      <x:c r="L31" s="41" t="str">
        <x:f>IF(A31="","",IF(AND(B31="YES",C31&lt;&gt;"",ISNUMBER(J31),ABS(J31)&lt;=Profile!$B$18),"ARITHMETIC MATCH","HOLD: BASIS / RECORD"))</x:f>
      </x:c>
    </x:row>
    <x:row r="32" ht="23" customHeight="1">
      <x:c r="A32" s="38"/>
      <x:c r="B32" s="36"/>
      <x:c r="C32" s="36"/>
      <x:c r="D32" s="41" t="str">
        <x:f>IF(COUNTIF(ExAnte!$A$6:$A$55,A32)=1,IF(ISNUMBER(INDEX(ExAnte!$I$6:$I$55,MATCH(A32,ExAnte!$A$6:$A$55,0))),INDEX(ExAnte!$I$6:$I$55,MATCH(A32,ExAnte!$A$6:$A$55,0)),""),"")</x:f>
      </x:c>
      <x:c r="E32" s="41" t="str">
        <x:f>IF(COUNTIF(ExPost!$A$6:$A$55,A32)=1,IF(ISNUMBER(INDEX(ExPost!$I$6:$I$55,MATCH(A32,ExPost!$A$6:$A$55,0))),INDEX(ExPost!$I$6:$I$55,MATCH(A32,ExPost!$A$6:$A$55,0)),""),"")</x:f>
      </x:c>
      <x:c r="F32" s="41" t="str">
        <x:f>IF(COUNT(D32:E32)=2,E32-D32,"")</x:f>
      </x:c>
      <x:c r="G32" s="41" t="str">
        <x:f>IF(AND(ISNUMBER(IF(COUNTIF(ExAnte!$A$6:$A$55,A32)=1,IF(ISNUMBER(INDEX(ExAnte!$F$6:$F$55,MATCH(A32,ExAnte!$A$6:$A$55,0))),INDEX(ExAnte!$F$6:$F$55,MATCH(A32,ExAnte!$A$6:$A$55,0)),""),"")),ISNUMBER(IF(COUNTIF(ExPost!$A$6:$A$55,A32)=1,IF(ISNUMBER(INDEX(ExPost!$F$6:$F$55,MATCH(A32,ExPost!$A$6:$A$55,0))),INDEX(ExPost!$F$6:$F$55,MATCH(A32,ExPost!$A$6:$A$55,0)),""),""))),(IF(COUNTIF(ExPost!$A$6:$A$55,A32)=1,IF(ISNUMBER(INDEX(ExPost!$F$6:$F$55,MATCH(A32,ExPost!$A$6:$A$55,0))),INDEX(ExPost!$F$6:$F$55,MATCH(A32,ExPost!$A$6:$A$55,0)),""),""))-(IF(COUNTIF(ExAnte!$A$6:$A$55,A32)=1,IF(ISNUMBER(INDEX(ExAnte!$F$6:$F$55,MATCH(A32,ExAnte!$A$6:$A$55,0))),INDEX(ExAnte!$F$6:$F$55,MATCH(A32,ExAnte!$A$6:$A$55,0)),""),"")),"")</x:f>
      </x:c>
      <x:c r="H32" s="41" t="str">
        <x:f>IF(AND(ISNUMBER(IF(COUNTIF(ExAnte!$A$6:$A$55,A32)=1,IF(ISNUMBER(INDEX(ExAnte!$G$6:$G$55,MATCH(A32,ExAnte!$A$6:$A$55,0))),INDEX(ExAnte!$G$6:$G$55,MATCH(A32,ExAnte!$A$6:$A$55,0)),""),"")),ISNUMBER(IF(COUNTIF(ExPost!$A$6:$A$55,A32)=1,IF(ISNUMBER(INDEX(ExPost!$G$6:$G$55,MATCH(A32,ExPost!$A$6:$A$55,0))),INDEX(ExPost!$G$6:$G$55,MATCH(A32,ExPost!$A$6:$A$55,0)),""),""))),(IF(COUNTIF(ExPost!$A$6:$A$55,A32)=1,IF(ISNUMBER(INDEX(ExPost!$G$6:$G$55,MATCH(A32,ExPost!$A$6:$A$55,0))),INDEX(ExPost!$G$6:$G$55,MATCH(A32,ExPost!$A$6:$A$55,0)),""),""))-(IF(COUNTIF(ExAnte!$A$6:$A$55,A32)=1,IF(ISNUMBER(INDEX(ExAnte!$G$6:$G$55,MATCH(A32,ExAnte!$A$6:$A$55,0))),INDEX(ExAnte!$G$6:$G$55,MATCH(A32,ExAnte!$A$6:$A$55,0)),""),"")),"")</x:f>
      </x:c>
      <x:c r="I32" s="41" t="str">
        <x:f>IF(AND(ISNUMBER(IF(COUNTIF(ExAnte!$A$6:$A$55,A32)=1,IF(ISNUMBER(INDEX(ExAnte!$H$6:$H$55,MATCH(A32,ExAnte!$A$6:$A$55,0))),INDEX(ExAnte!$H$6:$H$55,MATCH(A32,ExAnte!$A$6:$A$55,0)),""),"")),ISNUMBER(IF(COUNTIF(ExPost!$A$6:$A$55,A32)=1,IF(ISNUMBER(INDEX(ExPost!$H$6:$H$55,MATCH(A32,ExPost!$A$6:$A$55,0))),INDEX(ExPost!$H$6:$H$55,MATCH(A32,ExPost!$A$6:$A$55,0)),""),""))),(IF(COUNTIF(ExPost!$A$6:$A$55,A32)=1,IF(ISNUMBER(INDEX(ExPost!$H$6:$H$55,MATCH(A32,ExPost!$A$6:$A$55,0))),INDEX(ExPost!$H$6:$H$55,MATCH(A32,ExPost!$A$6:$A$55,0)),""),""))-(IF(COUNTIF(ExAnte!$A$6:$A$55,A32)=1,IF(ISNUMBER(INDEX(ExAnte!$H$6:$H$55,MATCH(A32,ExAnte!$A$6:$A$55,0))),INDEX(ExAnte!$H$6:$H$55,MATCH(A32,ExAnte!$A$6:$A$55,0)),""),"")),"")</x:f>
      </x:c>
      <x:c r="J32" s="41" t="str">
        <x:f>IF(COUNT(F32:I32)=4,F32-(G32-H32-I32),"")</x:f>
      </x:c>
      <x:c r="K32" s="36"/>
      <x:c r="L32" s="41" t="str">
        <x:f>IF(A32="","",IF(AND(B32="YES",C32&lt;&gt;"",ISNUMBER(J32),ABS(J32)&lt;=Profile!$B$18),"ARITHMETIC MATCH","HOLD: BASIS / RECORD"))</x:f>
      </x:c>
    </x:row>
    <x:row r="33" ht="23" customHeight="1">
      <x:c r="A33" s="38"/>
      <x:c r="B33" s="36"/>
      <x:c r="C33" s="36"/>
      <x:c r="D33" s="41" t="str">
        <x:f>IF(COUNTIF(ExAnte!$A$6:$A$55,A33)=1,IF(ISNUMBER(INDEX(ExAnte!$I$6:$I$55,MATCH(A33,ExAnte!$A$6:$A$55,0))),INDEX(ExAnte!$I$6:$I$55,MATCH(A33,ExAnte!$A$6:$A$55,0)),""),"")</x:f>
      </x:c>
      <x:c r="E33" s="41" t="str">
        <x:f>IF(COUNTIF(ExPost!$A$6:$A$55,A33)=1,IF(ISNUMBER(INDEX(ExPost!$I$6:$I$55,MATCH(A33,ExPost!$A$6:$A$55,0))),INDEX(ExPost!$I$6:$I$55,MATCH(A33,ExPost!$A$6:$A$55,0)),""),"")</x:f>
      </x:c>
      <x:c r="F33" s="41" t="str">
        <x:f>IF(COUNT(D33:E33)=2,E33-D33,"")</x:f>
      </x:c>
      <x:c r="G33" s="41" t="str">
        <x:f>IF(AND(ISNUMBER(IF(COUNTIF(ExAnte!$A$6:$A$55,A33)=1,IF(ISNUMBER(INDEX(ExAnte!$F$6:$F$55,MATCH(A33,ExAnte!$A$6:$A$55,0))),INDEX(ExAnte!$F$6:$F$55,MATCH(A33,ExAnte!$A$6:$A$55,0)),""),"")),ISNUMBER(IF(COUNTIF(ExPost!$A$6:$A$55,A33)=1,IF(ISNUMBER(INDEX(ExPost!$F$6:$F$55,MATCH(A33,ExPost!$A$6:$A$55,0))),INDEX(ExPost!$F$6:$F$55,MATCH(A33,ExPost!$A$6:$A$55,0)),""),""))),(IF(COUNTIF(ExPost!$A$6:$A$55,A33)=1,IF(ISNUMBER(INDEX(ExPost!$F$6:$F$55,MATCH(A33,ExPost!$A$6:$A$55,0))),INDEX(ExPost!$F$6:$F$55,MATCH(A33,ExPost!$A$6:$A$55,0)),""),""))-(IF(COUNTIF(ExAnte!$A$6:$A$55,A33)=1,IF(ISNUMBER(INDEX(ExAnte!$F$6:$F$55,MATCH(A33,ExAnte!$A$6:$A$55,0))),INDEX(ExAnte!$F$6:$F$55,MATCH(A33,ExAnte!$A$6:$A$55,0)),""),"")),"")</x:f>
      </x:c>
      <x:c r="H33" s="41" t="str">
        <x:f>IF(AND(ISNUMBER(IF(COUNTIF(ExAnte!$A$6:$A$55,A33)=1,IF(ISNUMBER(INDEX(ExAnte!$G$6:$G$55,MATCH(A33,ExAnte!$A$6:$A$55,0))),INDEX(ExAnte!$G$6:$G$55,MATCH(A33,ExAnte!$A$6:$A$55,0)),""),"")),ISNUMBER(IF(COUNTIF(ExPost!$A$6:$A$55,A33)=1,IF(ISNUMBER(INDEX(ExPost!$G$6:$G$55,MATCH(A33,ExPost!$A$6:$A$55,0))),INDEX(ExPost!$G$6:$G$55,MATCH(A33,ExPost!$A$6:$A$55,0)),""),""))),(IF(COUNTIF(ExPost!$A$6:$A$55,A33)=1,IF(ISNUMBER(INDEX(ExPost!$G$6:$G$55,MATCH(A33,ExPost!$A$6:$A$55,0))),INDEX(ExPost!$G$6:$G$55,MATCH(A33,ExPost!$A$6:$A$55,0)),""),""))-(IF(COUNTIF(ExAnte!$A$6:$A$55,A33)=1,IF(ISNUMBER(INDEX(ExAnte!$G$6:$G$55,MATCH(A33,ExAnte!$A$6:$A$55,0))),INDEX(ExAnte!$G$6:$G$55,MATCH(A33,ExAnte!$A$6:$A$55,0)),""),"")),"")</x:f>
      </x:c>
      <x:c r="I33" s="41" t="str">
        <x:f>IF(AND(ISNUMBER(IF(COUNTIF(ExAnte!$A$6:$A$55,A33)=1,IF(ISNUMBER(INDEX(ExAnte!$H$6:$H$55,MATCH(A33,ExAnte!$A$6:$A$55,0))),INDEX(ExAnte!$H$6:$H$55,MATCH(A33,ExAnte!$A$6:$A$55,0)),""),"")),ISNUMBER(IF(COUNTIF(ExPost!$A$6:$A$55,A33)=1,IF(ISNUMBER(INDEX(ExPost!$H$6:$H$55,MATCH(A33,ExPost!$A$6:$A$55,0))),INDEX(ExPost!$H$6:$H$55,MATCH(A33,ExPost!$A$6:$A$55,0)),""),""))),(IF(COUNTIF(ExPost!$A$6:$A$55,A33)=1,IF(ISNUMBER(INDEX(ExPost!$H$6:$H$55,MATCH(A33,ExPost!$A$6:$A$55,0))),INDEX(ExPost!$H$6:$H$55,MATCH(A33,ExPost!$A$6:$A$55,0)),""),""))-(IF(COUNTIF(ExAnte!$A$6:$A$55,A33)=1,IF(ISNUMBER(INDEX(ExAnte!$H$6:$H$55,MATCH(A33,ExAnte!$A$6:$A$55,0))),INDEX(ExAnte!$H$6:$H$55,MATCH(A33,ExAnte!$A$6:$A$55,0)),""),"")),"")</x:f>
      </x:c>
      <x:c r="J33" s="41" t="str">
        <x:f>IF(COUNT(F33:I33)=4,F33-(G33-H33-I33),"")</x:f>
      </x:c>
      <x:c r="K33" s="36"/>
      <x:c r="L33" s="41" t="str">
        <x:f>IF(A33="","",IF(AND(B33="YES",C33&lt;&gt;"",ISNUMBER(J33),ABS(J33)&lt;=Profile!$B$18),"ARITHMETIC MATCH","HOLD: BASIS / RECORD"))</x:f>
      </x:c>
    </x:row>
    <x:row r="34" ht="23" customHeight="1">
      <x:c r="A34" s="38"/>
      <x:c r="B34" s="36"/>
      <x:c r="C34" s="36"/>
      <x:c r="D34" s="41" t="str">
        <x:f>IF(COUNTIF(ExAnte!$A$6:$A$55,A34)=1,IF(ISNUMBER(INDEX(ExAnte!$I$6:$I$55,MATCH(A34,ExAnte!$A$6:$A$55,0))),INDEX(ExAnte!$I$6:$I$55,MATCH(A34,ExAnte!$A$6:$A$55,0)),""),"")</x:f>
      </x:c>
      <x:c r="E34" s="41" t="str">
        <x:f>IF(COUNTIF(ExPost!$A$6:$A$55,A34)=1,IF(ISNUMBER(INDEX(ExPost!$I$6:$I$55,MATCH(A34,ExPost!$A$6:$A$55,0))),INDEX(ExPost!$I$6:$I$55,MATCH(A34,ExPost!$A$6:$A$55,0)),""),"")</x:f>
      </x:c>
      <x:c r="F34" s="41" t="str">
        <x:f>IF(COUNT(D34:E34)=2,E34-D34,"")</x:f>
      </x:c>
      <x:c r="G34" s="41" t="str">
        <x:f>IF(AND(ISNUMBER(IF(COUNTIF(ExAnte!$A$6:$A$55,A34)=1,IF(ISNUMBER(INDEX(ExAnte!$F$6:$F$55,MATCH(A34,ExAnte!$A$6:$A$55,0))),INDEX(ExAnte!$F$6:$F$55,MATCH(A34,ExAnte!$A$6:$A$55,0)),""),"")),ISNUMBER(IF(COUNTIF(ExPost!$A$6:$A$55,A34)=1,IF(ISNUMBER(INDEX(ExPost!$F$6:$F$55,MATCH(A34,ExPost!$A$6:$A$55,0))),INDEX(ExPost!$F$6:$F$55,MATCH(A34,ExPost!$A$6:$A$55,0)),""),""))),(IF(COUNTIF(ExPost!$A$6:$A$55,A34)=1,IF(ISNUMBER(INDEX(ExPost!$F$6:$F$55,MATCH(A34,ExPost!$A$6:$A$55,0))),INDEX(ExPost!$F$6:$F$55,MATCH(A34,ExPost!$A$6:$A$55,0)),""),""))-(IF(COUNTIF(ExAnte!$A$6:$A$55,A34)=1,IF(ISNUMBER(INDEX(ExAnte!$F$6:$F$55,MATCH(A34,ExAnte!$A$6:$A$55,0))),INDEX(ExAnte!$F$6:$F$55,MATCH(A34,ExAnte!$A$6:$A$55,0)),""),"")),"")</x:f>
      </x:c>
      <x:c r="H34" s="41" t="str">
        <x:f>IF(AND(ISNUMBER(IF(COUNTIF(ExAnte!$A$6:$A$55,A34)=1,IF(ISNUMBER(INDEX(ExAnte!$G$6:$G$55,MATCH(A34,ExAnte!$A$6:$A$55,0))),INDEX(ExAnte!$G$6:$G$55,MATCH(A34,ExAnte!$A$6:$A$55,0)),""),"")),ISNUMBER(IF(COUNTIF(ExPost!$A$6:$A$55,A34)=1,IF(ISNUMBER(INDEX(ExPost!$G$6:$G$55,MATCH(A34,ExPost!$A$6:$A$55,0))),INDEX(ExPost!$G$6:$G$55,MATCH(A34,ExPost!$A$6:$A$55,0)),""),""))),(IF(COUNTIF(ExPost!$A$6:$A$55,A34)=1,IF(ISNUMBER(INDEX(ExPost!$G$6:$G$55,MATCH(A34,ExPost!$A$6:$A$55,0))),INDEX(ExPost!$G$6:$G$55,MATCH(A34,ExPost!$A$6:$A$55,0)),""),""))-(IF(COUNTIF(ExAnte!$A$6:$A$55,A34)=1,IF(ISNUMBER(INDEX(ExAnte!$G$6:$G$55,MATCH(A34,ExAnte!$A$6:$A$55,0))),INDEX(ExAnte!$G$6:$G$55,MATCH(A34,ExAnte!$A$6:$A$55,0)),""),"")),"")</x:f>
      </x:c>
      <x:c r="I34" s="41" t="str">
        <x:f>IF(AND(ISNUMBER(IF(COUNTIF(ExAnte!$A$6:$A$55,A34)=1,IF(ISNUMBER(INDEX(ExAnte!$H$6:$H$55,MATCH(A34,ExAnte!$A$6:$A$55,0))),INDEX(ExAnte!$H$6:$H$55,MATCH(A34,ExAnte!$A$6:$A$55,0)),""),"")),ISNUMBER(IF(COUNTIF(ExPost!$A$6:$A$55,A34)=1,IF(ISNUMBER(INDEX(ExPost!$H$6:$H$55,MATCH(A34,ExPost!$A$6:$A$55,0))),INDEX(ExPost!$H$6:$H$55,MATCH(A34,ExPost!$A$6:$A$55,0)),""),""))),(IF(COUNTIF(ExPost!$A$6:$A$55,A34)=1,IF(ISNUMBER(INDEX(ExPost!$H$6:$H$55,MATCH(A34,ExPost!$A$6:$A$55,0))),INDEX(ExPost!$H$6:$H$55,MATCH(A34,ExPost!$A$6:$A$55,0)),""),""))-(IF(COUNTIF(ExAnte!$A$6:$A$55,A34)=1,IF(ISNUMBER(INDEX(ExAnte!$H$6:$H$55,MATCH(A34,ExAnte!$A$6:$A$55,0))),INDEX(ExAnte!$H$6:$H$55,MATCH(A34,ExAnte!$A$6:$A$55,0)),""),"")),"")</x:f>
      </x:c>
      <x:c r="J34" s="41" t="str">
        <x:f>IF(COUNT(F34:I34)=4,F34-(G34-H34-I34),"")</x:f>
      </x:c>
      <x:c r="K34" s="36"/>
      <x:c r="L34" s="41" t="str">
        <x:f>IF(A34="","",IF(AND(B34="YES",C34&lt;&gt;"",ISNUMBER(J34),ABS(J34)&lt;=Profile!$B$18),"ARITHMETIC MATCH","HOLD: BASIS / RECORD"))</x:f>
      </x:c>
    </x:row>
    <x:row r="35" ht="23" customHeight="1">
      <x:c r="A35" s="38"/>
      <x:c r="B35" s="36"/>
      <x:c r="C35" s="36"/>
      <x:c r="D35" s="41" t="str">
        <x:f>IF(COUNTIF(ExAnte!$A$6:$A$55,A35)=1,IF(ISNUMBER(INDEX(ExAnte!$I$6:$I$55,MATCH(A35,ExAnte!$A$6:$A$55,0))),INDEX(ExAnte!$I$6:$I$55,MATCH(A35,ExAnte!$A$6:$A$55,0)),""),"")</x:f>
      </x:c>
      <x:c r="E35" s="41" t="str">
        <x:f>IF(COUNTIF(ExPost!$A$6:$A$55,A35)=1,IF(ISNUMBER(INDEX(ExPost!$I$6:$I$55,MATCH(A35,ExPost!$A$6:$A$55,0))),INDEX(ExPost!$I$6:$I$55,MATCH(A35,ExPost!$A$6:$A$55,0)),""),"")</x:f>
      </x:c>
      <x:c r="F35" s="41" t="str">
        <x:f>IF(COUNT(D35:E35)=2,E35-D35,"")</x:f>
      </x:c>
      <x:c r="G35" s="41" t="str">
        <x:f>IF(AND(ISNUMBER(IF(COUNTIF(ExAnte!$A$6:$A$55,A35)=1,IF(ISNUMBER(INDEX(ExAnte!$F$6:$F$55,MATCH(A35,ExAnte!$A$6:$A$55,0))),INDEX(ExAnte!$F$6:$F$55,MATCH(A35,ExAnte!$A$6:$A$55,0)),""),"")),ISNUMBER(IF(COUNTIF(ExPost!$A$6:$A$55,A35)=1,IF(ISNUMBER(INDEX(ExPost!$F$6:$F$55,MATCH(A35,ExPost!$A$6:$A$55,0))),INDEX(ExPost!$F$6:$F$55,MATCH(A35,ExPost!$A$6:$A$55,0)),""),""))),(IF(COUNTIF(ExPost!$A$6:$A$55,A35)=1,IF(ISNUMBER(INDEX(ExPost!$F$6:$F$55,MATCH(A35,ExPost!$A$6:$A$55,0))),INDEX(ExPost!$F$6:$F$55,MATCH(A35,ExPost!$A$6:$A$55,0)),""),""))-(IF(COUNTIF(ExAnte!$A$6:$A$55,A35)=1,IF(ISNUMBER(INDEX(ExAnte!$F$6:$F$55,MATCH(A35,ExAnte!$A$6:$A$55,0))),INDEX(ExAnte!$F$6:$F$55,MATCH(A35,ExAnte!$A$6:$A$55,0)),""),"")),"")</x:f>
      </x:c>
      <x:c r="H35" s="41" t="str">
        <x:f>IF(AND(ISNUMBER(IF(COUNTIF(ExAnte!$A$6:$A$55,A35)=1,IF(ISNUMBER(INDEX(ExAnte!$G$6:$G$55,MATCH(A35,ExAnte!$A$6:$A$55,0))),INDEX(ExAnte!$G$6:$G$55,MATCH(A35,ExAnte!$A$6:$A$55,0)),""),"")),ISNUMBER(IF(COUNTIF(ExPost!$A$6:$A$55,A35)=1,IF(ISNUMBER(INDEX(ExPost!$G$6:$G$55,MATCH(A35,ExPost!$A$6:$A$55,0))),INDEX(ExPost!$G$6:$G$55,MATCH(A35,ExPost!$A$6:$A$55,0)),""),""))),(IF(COUNTIF(ExPost!$A$6:$A$55,A35)=1,IF(ISNUMBER(INDEX(ExPost!$G$6:$G$55,MATCH(A35,ExPost!$A$6:$A$55,0))),INDEX(ExPost!$G$6:$G$55,MATCH(A35,ExPost!$A$6:$A$55,0)),""),""))-(IF(COUNTIF(ExAnte!$A$6:$A$55,A35)=1,IF(ISNUMBER(INDEX(ExAnte!$G$6:$G$55,MATCH(A35,ExAnte!$A$6:$A$55,0))),INDEX(ExAnte!$G$6:$G$55,MATCH(A35,ExAnte!$A$6:$A$55,0)),""),"")),"")</x:f>
      </x:c>
      <x:c r="I35" s="41" t="str">
        <x:f>IF(AND(ISNUMBER(IF(COUNTIF(ExAnte!$A$6:$A$55,A35)=1,IF(ISNUMBER(INDEX(ExAnte!$H$6:$H$55,MATCH(A35,ExAnte!$A$6:$A$55,0))),INDEX(ExAnte!$H$6:$H$55,MATCH(A35,ExAnte!$A$6:$A$55,0)),""),"")),ISNUMBER(IF(COUNTIF(ExPost!$A$6:$A$55,A35)=1,IF(ISNUMBER(INDEX(ExPost!$H$6:$H$55,MATCH(A35,ExPost!$A$6:$A$55,0))),INDEX(ExPost!$H$6:$H$55,MATCH(A35,ExPost!$A$6:$A$55,0)),""),""))),(IF(COUNTIF(ExPost!$A$6:$A$55,A35)=1,IF(ISNUMBER(INDEX(ExPost!$H$6:$H$55,MATCH(A35,ExPost!$A$6:$A$55,0))),INDEX(ExPost!$H$6:$H$55,MATCH(A35,ExPost!$A$6:$A$55,0)),""),""))-(IF(COUNTIF(ExAnte!$A$6:$A$55,A35)=1,IF(ISNUMBER(INDEX(ExAnte!$H$6:$H$55,MATCH(A35,ExAnte!$A$6:$A$55,0))),INDEX(ExAnte!$H$6:$H$55,MATCH(A35,ExAnte!$A$6:$A$55,0)),""),"")),"")</x:f>
      </x:c>
      <x:c r="J35" s="41" t="str">
        <x:f>IF(COUNT(F35:I35)=4,F35-(G35-H35-I35),"")</x:f>
      </x:c>
      <x:c r="K35" s="36"/>
      <x:c r="L35" s="41" t="str">
        <x:f>IF(A35="","",IF(AND(B35="YES",C35&lt;&gt;"",ISNUMBER(J35),ABS(J35)&lt;=Profile!$B$18),"ARITHMETIC MATCH","HOLD: BASIS / RECORD"))</x:f>
      </x:c>
    </x:row>
    <x:row r="36" ht="23" customHeight="1">
      <x:c r="A36" s="38"/>
      <x:c r="B36" s="36"/>
      <x:c r="C36" s="36"/>
      <x:c r="D36" s="41" t="str">
        <x:f>IF(COUNTIF(ExAnte!$A$6:$A$55,A36)=1,IF(ISNUMBER(INDEX(ExAnte!$I$6:$I$55,MATCH(A36,ExAnte!$A$6:$A$55,0))),INDEX(ExAnte!$I$6:$I$55,MATCH(A36,ExAnte!$A$6:$A$55,0)),""),"")</x:f>
      </x:c>
      <x:c r="E36" s="41" t="str">
        <x:f>IF(COUNTIF(ExPost!$A$6:$A$55,A36)=1,IF(ISNUMBER(INDEX(ExPost!$I$6:$I$55,MATCH(A36,ExPost!$A$6:$A$55,0))),INDEX(ExPost!$I$6:$I$55,MATCH(A36,ExPost!$A$6:$A$55,0)),""),"")</x:f>
      </x:c>
      <x:c r="F36" s="41" t="str">
        <x:f>IF(COUNT(D36:E36)=2,E36-D36,"")</x:f>
      </x:c>
      <x:c r="G36" s="41" t="str">
        <x:f>IF(AND(ISNUMBER(IF(COUNTIF(ExAnte!$A$6:$A$55,A36)=1,IF(ISNUMBER(INDEX(ExAnte!$F$6:$F$55,MATCH(A36,ExAnte!$A$6:$A$55,0))),INDEX(ExAnte!$F$6:$F$55,MATCH(A36,ExAnte!$A$6:$A$55,0)),""),"")),ISNUMBER(IF(COUNTIF(ExPost!$A$6:$A$55,A36)=1,IF(ISNUMBER(INDEX(ExPost!$F$6:$F$55,MATCH(A36,ExPost!$A$6:$A$55,0))),INDEX(ExPost!$F$6:$F$55,MATCH(A36,ExPost!$A$6:$A$55,0)),""),""))),(IF(COUNTIF(ExPost!$A$6:$A$55,A36)=1,IF(ISNUMBER(INDEX(ExPost!$F$6:$F$55,MATCH(A36,ExPost!$A$6:$A$55,0))),INDEX(ExPost!$F$6:$F$55,MATCH(A36,ExPost!$A$6:$A$55,0)),""),""))-(IF(COUNTIF(ExAnte!$A$6:$A$55,A36)=1,IF(ISNUMBER(INDEX(ExAnte!$F$6:$F$55,MATCH(A36,ExAnte!$A$6:$A$55,0))),INDEX(ExAnte!$F$6:$F$55,MATCH(A36,ExAnte!$A$6:$A$55,0)),""),"")),"")</x:f>
      </x:c>
      <x:c r="H36" s="41" t="str">
        <x:f>IF(AND(ISNUMBER(IF(COUNTIF(ExAnte!$A$6:$A$55,A36)=1,IF(ISNUMBER(INDEX(ExAnte!$G$6:$G$55,MATCH(A36,ExAnte!$A$6:$A$55,0))),INDEX(ExAnte!$G$6:$G$55,MATCH(A36,ExAnte!$A$6:$A$55,0)),""),"")),ISNUMBER(IF(COUNTIF(ExPost!$A$6:$A$55,A36)=1,IF(ISNUMBER(INDEX(ExPost!$G$6:$G$55,MATCH(A36,ExPost!$A$6:$A$55,0))),INDEX(ExPost!$G$6:$G$55,MATCH(A36,ExPost!$A$6:$A$55,0)),""),""))),(IF(COUNTIF(ExPost!$A$6:$A$55,A36)=1,IF(ISNUMBER(INDEX(ExPost!$G$6:$G$55,MATCH(A36,ExPost!$A$6:$A$55,0))),INDEX(ExPost!$G$6:$G$55,MATCH(A36,ExPost!$A$6:$A$55,0)),""),""))-(IF(COUNTIF(ExAnte!$A$6:$A$55,A36)=1,IF(ISNUMBER(INDEX(ExAnte!$G$6:$G$55,MATCH(A36,ExAnte!$A$6:$A$55,0))),INDEX(ExAnte!$G$6:$G$55,MATCH(A36,ExAnte!$A$6:$A$55,0)),""),"")),"")</x:f>
      </x:c>
      <x:c r="I36" s="41" t="str">
        <x:f>IF(AND(ISNUMBER(IF(COUNTIF(ExAnte!$A$6:$A$55,A36)=1,IF(ISNUMBER(INDEX(ExAnte!$H$6:$H$55,MATCH(A36,ExAnte!$A$6:$A$55,0))),INDEX(ExAnte!$H$6:$H$55,MATCH(A36,ExAnte!$A$6:$A$55,0)),""),"")),ISNUMBER(IF(COUNTIF(ExPost!$A$6:$A$55,A36)=1,IF(ISNUMBER(INDEX(ExPost!$H$6:$H$55,MATCH(A36,ExPost!$A$6:$A$55,0))),INDEX(ExPost!$H$6:$H$55,MATCH(A36,ExPost!$A$6:$A$55,0)),""),""))),(IF(COUNTIF(ExPost!$A$6:$A$55,A36)=1,IF(ISNUMBER(INDEX(ExPost!$H$6:$H$55,MATCH(A36,ExPost!$A$6:$A$55,0))),INDEX(ExPost!$H$6:$H$55,MATCH(A36,ExPost!$A$6:$A$55,0)),""),""))-(IF(COUNTIF(ExAnte!$A$6:$A$55,A36)=1,IF(ISNUMBER(INDEX(ExAnte!$H$6:$H$55,MATCH(A36,ExAnte!$A$6:$A$55,0))),INDEX(ExAnte!$H$6:$H$55,MATCH(A36,ExAnte!$A$6:$A$55,0)),""),"")),"")</x:f>
      </x:c>
      <x:c r="J36" s="41" t="str">
        <x:f>IF(COUNT(F36:I36)=4,F36-(G36-H36-I36),"")</x:f>
      </x:c>
      <x:c r="K36" s="36"/>
      <x:c r="L36" s="41" t="str">
        <x:f>IF(A36="","",IF(AND(B36="YES",C36&lt;&gt;"",ISNUMBER(J36),ABS(J36)&lt;=Profile!$B$18),"ARITHMETIC MATCH","HOLD: BASIS / RECORD"))</x:f>
      </x:c>
    </x:row>
    <x:row r="37" ht="23" customHeight="1">
      <x:c r="A37" s="38"/>
      <x:c r="B37" s="36"/>
      <x:c r="C37" s="36"/>
      <x:c r="D37" s="41" t="str">
        <x:f>IF(COUNTIF(ExAnte!$A$6:$A$55,A37)=1,IF(ISNUMBER(INDEX(ExAnte!$I$6:$I$55,MATCH(A37,ExAnte!$A$6:$A$55,0))),INDEX(ExAnte!$I$6:$I$55,MATCH(A37,ExAnte!$A$6:$A$55,0)),""),"")</x:f>
      </x:c>
      <x:c r="E37" s="41" t="str">
        <x:f>IF(COUNTIF(ExPost!$A$6:$A$55,A37)=1,IF(ISNUMBER(INDEX(ExPost!$I$6:$I$55,MATCH(A37,ExPost!$A$6:$A$55,0))),INDEX(ExPost!$I$6:$I$55,MATCH(A37,ExPost!$A$6:$A$55,0)),""),"")</x:f>
      </x:c>
      <x:c r="F37" s="41" t="str">
        <x:f>IF(COUNT(D37:E37)=2,E37-D37,"")</x:f>
      </x:c>
      <x:c r="G37" s="41" t="str">
        <x:f>IF(AND(ISNUMBER(IF(COUNTIF(ExAnte!$A$6:$A$55,A37)=1,IF(ISNUMBER(INDEX(ExAnte!$F$6:$F$55,MATCH(A37,ExAnte!$A$6:$A$55,0))),INDEX(ExAnte!$F$6:$F$55,MATCH(A37,ExAnte!$A$6:$A$55,0)),""),"")),ISNUMBER(IF(COUNTIF(ExPost!$A$6:$A$55,A37)=1,IF(ISNUMBER(INDEX(ExPost!$F$6:$F$55,MATCH(A37,ExPost!$A$6:$A$55,0))),INDEX(ExPost!$F$6:$F$55,MATCH(A37,ExPost!$A$6:$A$55,0)),""),""))),(IF(COUNTIF(ExPost!$A$6:$A$55,A37)=1,IF(ISNUMBER(INDEX(ExPost!$F$6:$F$55,MATCH(A37,ExPost!$A$6:$A$55,0))),INDEX(ExPost!$F$6:$F$55,MATCH(A37,ExPost!$A$6:$A$55,0)),""),""))-(IF(COUNTIF(ExAnte!$A$6:$A$55,A37)=1,IF(ISNUMBER(INDEX(ExAnte!$F$6:$F$55,MATCH(A37,ExAnte!$A$6:$A$55,0))),INDEX(ExAnte!$F$6:$F$55,MATCH(A37,ExAnte!$A$6:$A$55,0)),""),"")),"")</x:f>
      </x:c>
      <x:c r="H37" s="41" t="str">
        <x:f>IF(AND(ISNUMBER(IF(COUNTIF(ExAnte!$A$6:$A$55,A37)=1,IF(ISNUMBER(INDEX(ExAnte!$G$6:$G$55,MATCH(A37,ExAnte!$A$6:$A$55,0))),INDEX(ExAnte!$G$6:$G$55,MATCH(A37,ExAnte!$A$6:$A$55,0)),""),"")),ISNUMBER(IF(COUNTIF(ExPost!$A$6:$A$55,A37)=1,IF(ISNUMBER(INDEX(ExPost!$G$6:$G$55,MATCH(A37,ExPost!$A$6:$A$55,0))),INDEX(ExPost!$G$6:$G$55,MATCH(A37,ExPost!$A$6:$A$55,0)),""),""))),(IF(COUNTIF(ExPost!$A$6:$A$55,A37)=1,IF(ISNUMBER(INDEX(ExPost!$G$6:$G$55,MATCH(A37,ExPost!$A$6:$A$55,0))),INDEX(ExPost!$G$6:$G$55,MATCH(A37,ExPost!$A$6:$A$55,0)),""),""))-(IF(COUNTIF(ExAnte!$A$6:$A$55,A37)=1,IF(ISNUMBER(INDEX(ExAnte!$G$6:$G$55,MATCH(A37,ExAnte!$A$6:$A$55,0))),INDEX(ExAnte!$G$6:$G$55,MATCH(A37,ExAnte!$A$6:$A$55,0)),""),"")),"")</x:f>
      </x:c>
      <x:c r="I37" s="41" t="str">
        <x:f>IF(AND(ISNUMBER(IF(COUNTIF(ExAnte!$A$6:$A$55,A37)=1,IF(ISNUMBER(INDEX(ExAnte!$H$6:$H$55,MATCH(A37,ExAnte!$A$6:$A$55,0))),INDEX(ExAnte!$H$6:$H$55,MATCH(A37,ExAnte!$A$6:$A$55,0)),""),"")),ISNUMBER(IF(COUNTIF(ExPost!$A$6:$A$55,A37)=1,IF(ISNUMBER(INDEX(ExPost!$H$6:$H$55,MATCH(A37,ExPost!$A$6:$A$55,0))),INDEX(ExPost!$H$6:$H$55,MATCH(A37,ExPost!$A$6:$A$55,0)),""),""))),(IF(COUNTIF(ExPost!$A$6:$A$55,A37)=1,IF(ISNUMBER(INDEX(ExPost!$H$6:$H$55,MATCH(A37,ExPost!$A$6:$A$55,0))),INDEX(ExPost!$H$6:$H$55,MATCH(A37,ExPost!$A$6:$A$55,0)),""),""))-(IF(COUNTIF(ExAnte!$A$6:$A$55,A37)=1,IF(ISNUMBER(INDEX(ExAnte!$H$6:$H$55,MATCH(A37,ExAnte!$A$6:$A$55,0))),INDEX(ExAnte!$H$6:$H$55,MATCH(A37,ExAnte!$A$6:$A$55,0)),""),"")),"")</x:f>
      </x:c>
      <x:c r="J37" s="41" t="str">
        <x:f>IF(COUNT(F37:I37)=4,F37-(G37-H37-I37),"")</x:f>
      </x:c>
      <x:c r="K37" s="36"/>
      <x:c r="L37" s="41" t="str">
        <x:f>IF(A37="","",IF(AND(B37="YES",C37&lt;&gt;"",ISNUMBER(J37),ABS(J37)&lt;=Profile!$B$18),"ARITHMETIC MATCH","HOLD: BASIS / RECORD"))</x:f>
      </x:c>
    </x:row>
    <x:row r="38" ht="23" customHeight="1">
      <x:c r="A38" s="38"/>
      <x:c r="B38" s="36"/>
      <x:c r="C38" s="36"/>
      <x:c r="D38" s="41" t="str">
        <x:f>IF(COUNTIF(ExAnte!$A$6:$A$55,A38)=1,IF(ISNUMBER(INDEX(ExAnte!$I$6:$I$55,MATCH(A38,ExAnte!$A$6:$A$55,0))),INDEX(ExAnte!$I$6:$I$55,MATCH(A38,ExAnte!$A$6:$A$55,0)),""),"")</x:f>
      </x:c>
      <x:c r="E38" s="41" t="str">
        <x:f>IF(COUNTIF(ExPost!$A$6:$A$55,A38)=1,IF(ISNUMBER(INDEX(ExPost!$I$6:$I$55,MATCH(A38,ExPost!$A$6:$A$55,0))),INDEX(ExPost!$I$6:$I$55,MATCH(A38,ExPost!$A$6:$A$55,0)),""),"")</x:f>
      </x:c>
      <x:c r="F38" s="41" t="str">
        <x:f>IF(COUNT(D38:E38)=2,E38-D38,"")</x:f>
      </x:c>
      <x:c r="G38" s="41" t="str">
        <x:f>IF(AND(ISNUMBER(IF(COUNTIF(ExAnte!$A$6:$A$55,A38)=1,IF(ISNUMBER(INDEX(ExAnte!$F$6:$F$55,MATCH(A38,ExAnte!$A$6:$A$55,0))),INDEX(ExAnte!$F$6:$F$55,MATCH(A38,ExAnte!$A$6:$A$55,0)),""),"")),ISNUMBER(IF(COUNTIF(ExPost!$A$6:$A$55,A38)=1,IF(ISNUMBER(INDEX(ExPost!$F$6:$F$55,MATCH(A38,ExPost!$A$6:$A$55,0))),INDEX(ExPost!$F$6:$F$55,MATCH(A38,ExPost!$A$6:$A$55,0)),""),""))),(IF(COUNTIF(ExPost!$A$6:$A$55,A38)=1,IF(ISNUMBER(INDEX(ExPost!$F$6:$F$55,MATCH(A38,ExPost!$A$6:$A$55,0))),INDEX(ExPost!$F$6:$F$55,MATCH(A38,ExPost!$A$6:$A$55,0)),""),""))-(IF(COUNTIF(ExAnte!$A$6:$A$55,A38)=1,IF(ISNUMBER(INDEX(ExAnte!$F$6:$F$55,MATCH(A38,ExAnte!$A$6:$A$55,0))),INDEX(ExAnte!$F$6:$F$55,MATCH(A38,ExAnte!$A$6:$A$55,0)),""),"")),"")</x:f>
      </x:c>
      <x:c r="H38" s="41" t="str">
        <x:f>IF(AND(ISNUMBER(IF(COUNTIF(ExAnte!$A$6:$A$55,A38)=1,IF(ISNUMBER(INDEX(ExAnte!$G$6:$G$55,MATCH(A38,ExAnte!$A$6:$A$55,0))),INDEX(ExAnte!$G$6:$G$55,MATCH(A38,ExAnte!$A$6:$A$55,0)),""),"")),ISNUMBER(IF(COUNTIF(ExPost!$A$6:$A$55,A38)=1,IF(ISNUMBER(INDEX(ExPost!$G$6:$G$55,MATCH(A38,ExPost!$A$6:$A$55,0))),INDEX(ExPost!$G$6:$G$55,MATCH(A38,ExPost!$A$6:$A$55,0)),""),""))),(IF(COUNTIF(ExPost!$A$6:$A$55,A38)=1,IF(ISNUMBER(INDEX(ExPost!$G$6:$G$55,MATCH(A38,ExPost!$A$6:$A$55,0))),INDEX(ExPost!$G$6:$G$55,MATCH(A38,ExPost!$A$6:$A$55,0)),""),""))-(IF(COUNTIF(ExAnte!$A$6:$A$55,A38)=1,IF(ISNUMBER(INDEX(ExAnte!$G$6:$G$55,MATCH(A38,ExAnte!$A$6:$A$55,0))),INDEX(ExAnte!$G$6:$G$55,MATCH(A38,ExAnte!$A$6:$A$55,0)),""),"")),"")</x:f>
      </x:c>
      <x:c r="I38" s="41" t="str">
        <x:f>IF(AND(ISNUMBER(IF(COUNTIF(ExAnte!$A$6:$A$55,A38)=1,IF(ISNUMBER(INDEX(ExAnte!$H$6:$H$55,MATCH(A38,ExAnte!$A$6:$A$55,0))),INDEX(ExAnte!$H$6:$H$55,MATCH(A38,ExAnte!$A$6:$A$55,0)),""),"")),ISNUMBER(IF(COUNTIF(ExPost!$A$6:$A$55,A38)=1,IF(ISNUMBER(INDEX(ExPost!$H$6:$H$55,MATCH(A38,ExPost!$A$6:$A$55,0))),INDEX(ExPost!$H$6:$H$55,MATCH(A38,ExPost!$A$6:$A$55,0)),""),""))),(IF(COUNTIF(ExPost!$A$6:$A$55,A38)=1,IF(ISNUMBER(INDEX(ExPost!$H$6:$H$55,MATCH(A38,ExPost!$A$6:$A$55,0))),INDEX(ExPost!$H$6:$H$55,MATCH(A38,ExPost!$A$6:$A$55,0)),""),""))-(IF(COUNTIF(ExAnte!$A$6:$A$55,A38)=1,IF(ISNUMBER(INDEX(ExAnte!$H$6:$H$55,MATCH(A38,ExAnte!$A$6:$A$55,0))),INDEX(ExAnte!$H$6:$H$55,MATCH(A38,ExAnte!$A$6:$A$55,0)),""),"")),"")</x:f>
      </x:c>
      <x:c r="J38" s="41" t="str">
        <x:f>IF(COUNT(F38:I38)=4,F38-(G38-H38-I38),"")</x:f>
      </x:c>
      <x:c r="K38" s="36"/>
      <x:c r="L38" s="41" t="str">
        <x:f>IF(A38="","",IF(AND(B38="YES",C38&lt;&gt;"",ISNUMBER(J38),ABS(J38)&lt;=Profile!$B$18),"ARITHMETIC MATCH","HOLD: BASIS / RECORD"))</x:f>
      </x:c>
    </x:row>
    <x:row r="39" ht="23" customHeight="1">
      <x:c r="A39" s="38"/>
      <x:c r="B39" s="36"/>
      <x:c r="C39" s="36"/>
      <x:c r="D39" s="41" t="str">
        <x:f>IF(COUNTIF(ExAnte!$A$6:$A$55,A39)=1,IF(ISNUMBER(INDEX(ExAnte!$I$6:$I$55,MATCH(A39,ExAnte!$A$6:$A$55,0))),INDEX(ExAnte!$I$6:$I$55,MATCH(A39,ExAnte!$A$6:$A$55,0)),""),"")</x:f>
      </x:c>
      <x:c r="E39" s="41" t="str">
        <x:f>IF(COUNTIF(ExPost!$A$6:$A$55,A39)=1,IF(ISNUMBER(INDEX(ExPost!$I$6:$I$55,MATCH(A39,ExPost!$A$6:$A$55,0))),INDEX(ExPost!$I$6:$I$55,MATCH(A39,ExPost!$A$6:$A$55,0)),""),"")</x:f>
      </x:c>
      <x:c r="F39" s="41" t="str">
        <x:f>IF(COUNT(D39:E39)=2,E39-D39,"")</x:f>
      </x:c>
      <x:c r="G39" s="41" t="str">
        <x:f>IF(AND(ISNUMBER(IF(COUNTIF(ExAnte!$A$6:$A$55,A39)=1,IF(ISNUMBER(INDEX(ExAnte!$F$6:$F$55,MATCH(A39,ExAnte!$A$6:$A$55,0))),INDEX(ExAnte!$F$6:$F$55,MATCH(A39,ExAnte!$A$6:$A$55,0)),""),"")),ISNUMBER(IF(COUNTIF(ExPost!$A$6:$A$55,A39)=1,IF(ISNUMBER(INDEX(ExPost!$F$6:$F$55,MATCH(A39,ExPost!$A$6:$A$55,0))),INDEX(ExPost!$F$6:$F$55,MATCH(A39,ExPost!$A$6:$A$55,0)),""),""))),(IF(COUNTIF(ExPost!$A$6:$A$55,A39)=1,IF(ISNUMBER(INDEX(ExPost!$F$6:$F$55,MATCH(A39,ExPost!$A$6:$A$55,0))),INDEX(ExPost!$F$6:$F$55,MATCH(A39,ExPost!$A$6:$A$55,0)),""),""))-(IF(COUNTIF(ExAnte!$A$6:$A$55,A39)=1,IF(ISNUMBER(INDEX(ExAnte!$F$6:$F$55,MATCH(A39,ExAnte!$A$6:$A$55,0))),INDEX(ExAnte!$F$6:$F$55,MATCH(A39,ExAnte!$A$6:$A$55,0)),""),"")),"")</x:f>
      </x:c>
      <x:c r="H39" s="41" t="str">
        <x:f>IF(AND(ISNUMBER(IF(COUNTIF(ExAnte!$A$6:$A$55,A39)=1,IF(ISNUMBER(INDEX(ExAnte!$G$6:$G$55,MATCH(A39,ExAnte!$A$6:$A$55,0))),INDEX(ExAnte!$G$6:$G$55,MATCH(A39,ExAnte!$A$6:$A$55,0)),""),"")),ISNUMBER(IF(COUNTIF(ExPost!$A$6:$A$55,A39)=1,IF(ISNUMBER(INDEX(ExPost!$G$6:$G$55,MATCH(A39,ExPost!$A$6:$A$55,0))),INDEX(ExPost!$G$6:$G$55,MATCH(A39,ExPost!$A$6:$A$55,0)),""),""))),(IF(COUNTIF(ExPost!$A$6:$A$55,A39)=1,IF(ISNUMBER(INDEX(ExPost!$G$6:$G$55,MATCH(A39,ExPost!$A$6:$A$55,0))),INDEX(ExPost!$G$6:$G$55,MATCH(A39,ExPost!$A$6:$A$55,0)),""),""))-(IF(COUNTIF(ExAnte!$A$6:$A$55,A39)=1,IF(ISNUMBER(INDEX(ExAnte!$G$6:$G$55,MATCH(A39,ExAnte!$A$6:$A$55,0))),INDEX(ExAnte!$G$6:$G$55,MATCH(A39,ExAnte!$A$6:$A$55,0)),""),"")),"")</x:f>
      </x:c>
      <x:c r="I39" s="41" t="str">
        <x:f>IF(AND(ISNUMBER(IF(COUNTIF(ExAnte!$A$6:$A$55,A39)=1,IF(ISNUMBER(INDEX(ExAnte!$H$6:$H$55,MATCH(A39,ExAnte!$A$6:$A$55,0))),INDEX(ExAnte!$H$6:$H$55,MATCH(A39,ExAnte!$A$6:$A$55,0)),""),"")),ISNUMBER(IF(COUNTIF(ExPost!$A$6:$A$55,A39)=1,IF(ISNUMBER(INDEX(ExPost!$H$6:$H$55,MATCH(A39,ExPost!$A$6:$A$55,0))),INDEX(ExPost!$H$6:$H$55,MATCH(A39,ExPost!$A$6:$A$55,0)),""),""))),(IF(COUNTIF(ExPost!$A$6:$A$55,A39)=1,IF(ISNUMBER(INDEX(ExPost!$H$6:$H$55,MATCH(A39,ExPost!$A$6:$A$55,0))),INDEX(ExPost!$H$6:$H$55,MATCH(A39,ExPost!$A$6:$A$55,0)),""),""))-(IF(COUNTIF(ExAnte!$A$6:$A$55,A39)=1,IF(ISNUMBER(INDEX(ExAnte!$H$6:$H$55,MATCH(A39,ExAnte!$A$6:$A$55,0))),INDEX(ExAnte!$H$6:$H$55,MATCH(A39,ExAnte!$A$6:$A$55,0)),""),"")),"")</x:f>
      </x:c>
      <x:c r="J39" s="41" t="str">
        <x:f>IF(COUNT(F39:I39)=4,F39-(G39-H39-I39),"")</x:f>
      </x:c>
      <x:c r="K39" s="36"/>
      <x:c r="L39" s="41" t="str">
        <x:f>IF(A39="","",IF(AND(B39="YES",C39&lt;&gt;"",ISNUMBER(J39),ABS(J39)&lt;=Profile!$B$18),"ARITHMETIC MATCH","HOLD: BASIS / RECORD"))</x:f>
      </x:c>
    </x:row>
    <x:row r="40" ht="23" customHeight="1">
      <x:c r="A40" s="38"/>
      <x:c r="B40" s="36"/>
      <x:c r="C40" s="36"/>
      <x:c r="D40" s="41" t="str">
        <x:f>IF(COUNTIF(ExAnte!$A$6:$A$55,A40)=1,IF(ISNUMBER(INDEX(ExAnte!$I$6:$I$55,MATCH(A40,ExAnte!$A$6:$A$55,0))),INDEX(ExAnte!$I$6:$I$55,MATCH(A40,ExAnte!$A$6:$A$55,0)),""),"")</x:f>
      </x:c>
      <x:c r="E40" s="41" t="str">
        <x:f>IF(COUNTIF(ExPost!$A$6:$A$55,A40)=1,IF(ISNUMBER(INDEX(ExPost!$I$6:$I$55,MATCH(A40,ExPost!$A$6:$A$55,0))),INDEX(ExPost!$I$6:$I$55,MATCH(A40,ExPost!$A$6:$A$55,0)),""),"")</x:f>
      </x:c>
      <x:c r="F40" s="41" t="str">
        <x:f>IF(COUNT(D40:E40)=2,E40-D40,"")</x:f>
      </x:c>
      <x:c r="G40" s="41" t="str">
        <x:f>IF(AND(ISNUMBER(IF(COUNTIF(ExAnte!$A$6:$A$55,A40)=1,IF(ISNUMBER(INDEX(ExAnte!$F$6:$F$55,MATCH(A40,ExAnte!$A$6:$A$55,0))),INDEX(ExAnte!$F$6:$F$55,MATCH(A40,ExAnte!$A$6:$A$55,0)),""),"")),ISNUMBER(IF(COUNTIF(ExPost!$A$6:$A$55,A40)=1,IF(ISNUMBER(INDEX(ExPost!$F$6:$F$55,MATCH(A40,ExPost!$A$6:$A$55,0))),INDEX(ExPost!$F$6:$F$55,MATCH(A40,ExPost!$A$6:$A$55,0)),""),""))),(IF(COUNTIF(ExPost!$A$6:$A$55,A40)=1,IF(ISNUMBER(INDEX(ExPost!$F$6:$F$55,MATCH(A40,ExPost!$A$6:$A$55,0))),INDEX(ExPost!$F$6:$F$55,MATCH(A40,ExPost!$A$6:$A$55,0)),""),""))-(IF(COUNTIF(ExAnte!$A$6:$A$55,A40)=1,IF(ISNUMBER(INDEX(ExAnte!$F$6:$F$55,MATCH(A40,ExAnte!$A$6:$A$55,0))),INDEX(ExAnte!$F$6:$F$55,MATCH(A40,ExAnte!$A$6:$A$55,0)),""),"")),"")</x:f>
      </x:c>
      <x:c r="H40" s="41" t="str">
        <x:f>IF(AND(ISNUMBER(IF(COUNTIF(ExAnte!$A$6:$A$55,A40)=1,IF(ISNUMBER(INDEX(ExAnte!$G$6:$G$55,MATCH(A40,ExAnte!$A$6:$A$55,0))),INDEX(ExAnte!$G$6:$G$55,MATCH(A40,ExAnte!$A$6:$A$55,0)),""),"")),ISNUMBER(IF(COUNTIF(ExPost!$A$6:$A$55,A40)=1,IF(ISNUMBER(INDEX(ExPost!$G$6:$G$55,MATCH(A40,ExPost!$A$6:$A$55,0))),INDEX(ExPost!$G$6:$G$55,MATCH(A40,ExPost!$A$6:$A$55,0)),""),""))),(IF(COUNTIF(ExPost!$A$6:$A$55,A40)=1,IF(ISNUMBER(INDEX(ExPost!$G$6:$G$55,MATCH(A40,ExPost!$A$6:$A$55,0))),INDEX(ExPost!$G$6:$G$55,MATCH(A40,ExPost!$A$6:$A$55,0)),""),""))-(IF(COUNTIF(ExAnte!$A$6:$A$55,A40)=1,IF(ISNUMBER(INDEX(ExAnte!$G$6:$G$55,MATCH(A40,ExAnte!$A$6:$A$55,0))),INDEX(ExAnte!$G$6:$G$55,MATCH(A40,ExAnte!$A$6:$A$55,0)),""),"")),"")</x:f>
      </x:c>
      <x:c r="I40" s="41" t="str">
        <x:f>IF(AND(ISNUMBER(IF(COUNTIF(ExAnte!$A$6:$A$55,A40)=1,IF(ISNUMBER(INDEX(ExAnte!$H$6:$H$55,MATCH(A40,ExAnte!$A$6:$A$55,0))),INDEX(ExAnte!$H$6:$H$55,MATCH(A40,ExAnte!$A$6:$A$55,0)),""),"")),ISNUMBER(IF(COUNTIF(ExPost!$A$6:$A$55,A40)=1,IF(ISNUMBER(INDEX(ExPost!$H$6:$H$55,MATCH(A40,ExPost!$A$6:$A$55,0))),INDEX(ExPost!$H$6:$H$55,MATCH(A40,ExPost!$A$6:$A$55,0)),""),""))),(IF(COUNTIF(ExPost!$A$6:$A$55,A40)=1,IF(ISNUMBER(INDEX(ExPost!$H$6:$H$55,MATCH(A40,ExPost!$A$6:$A$55,0))),INDEX(ExPost!$H$6:$H$55,MATCH(A40,ExPost!$A$6:$A$55,0)),""),""))-(IF(COUNTIF(ExAnte!$A$6:$A$55,A40)=1,IF(ISNUMBER(INDEX(ExAnte!$H$6:$H$55,MATCH(A40,ExAnte!$A$6:$A$55,0))),INDEX(ExAnte!$H$6:$H$55,MATCH(A40,ExAnte!$A$6:$A$55,0)),""),"")),"")</x:f>
      </x:c>
      <x:c r="J40" s="41" t="str">
        <x:f>IF(COUNT(F40:I40)=4,F40-(G40-H40-I40),"")</x:f>
      </x:c>
      <x:c r="K40" s="36"/>
      <x:c r="L40" s="41" t="str">
        <x:f>IF(A40="","",IF(AND(B40="YES",C40&lt;&gt;"",ISNUMBER(J40),ABS(J40)&lt;=Profile!$B$18),"ARITHMETIC MATCH","HOLD: BASIS / RECORD"))</x:f>
      </x:c>
    </x:row>
    <x:row r="41" ht="23" customHeight="1">
      <x:c r="A41" s="38"/>
      <x:c r="B41" s="36"/>
      <x:c r="C41" s="36"/>
      <x:c r="D41" s="41" t="str">
        <x:f>IF(COUNTIF(ExAnte!$A$6:$A$55,A41)=1,IF(ISNUMBER(INDEX(ExAnte!$I$6:$I$55,MATCH(A41,ExAnte!$A$6:$A$55,0))),INDEX(ExAnte!$I$6:$I$55,MATCH(A41,ExAnte!$A$6:$A$55,0)),""),"")</x:f>
      </x:c>
      <x:c r="E41" s="41" t="str">
        <x:f>IF(COUNTIF(ExPost!$A$6:$A$55,A41)=1,IF(ISNUMBER(INDEX(ExPost!$I$6:$I$55,MATCH(A41,ExPost!$A$6:$A$55,0))),INDEX(ExPost!$I$6:$I$55,MATCH(A41,ExPost!$A$6:$A$55,0)),""),"")</x:f>
      </x:c>
      <x:c r="F41" s="41" t="str">
        <x:f>IF(COUNT(D41:E41)=2,E41-D41,"")</x:f>
      </x:c>
      <x:c r="G41" s="41" t="str">
        <x:f>IF(AND(ISNUMBER(IF(COUNTIF(ExAnte!$A$6:$A$55,A41)=1,IF(ISNUMBER(INDEX(ExAnte!$F$6:$F$55,MATCH(A41,ExAnte!$A$6:$A$55,0))),INDEX(ExAnte!$F$6:$F$55,MATCH(A41,ExAnte!$A$6:$A$55,0)),""),"")),ISNUMBER(IF(COUNTIF(ExPost!$A$6:$A$55,A41)=1,IF(ISNUMBER(INDEX(ExPost!$F$6:$F$55,MATCH(A41,ExPost!$A$6:$A$55,0))),INDEX(ExPost!$F$6:$F$55,MATCH(A41,ExPost!$A$6:$A$55,0)),""),""))),(IF(COUNTIF(ExPost!$A$6:$A$55,A41)=1,IF(ISNUMBER(INDEX(ExPost!$F$6:$F$55,MATCH(A41,ExPost!$A$6:$A$55,0))),INDEX(ExPost!$F$6:$F$55,MATCH(A41,ExPost!$A$6:$A$55,0)),""),""))-(IF(COUNTIF(ExAnte!$A$6:$A$55,A41)=1,IF(ISNUMBER(INDEX(ExAnte!$F$6:$F$55,MATCH(A41,ExAnte!$A$6:$A$55,0))),INDEX(ExAnte!$F$6:$F$55,MATCH(A41,ExAnte!$A$6:$A$55,0)),""),"")),"")</x:f>
      </x:c>
      <x:c r="H41" s="41" t="str">
        <x:f>IF(AND(ISNUMBER(IF(COUNTIF(ExAnte!$A$6:$A$55,A41)=1,IF(ISNUMBER(INDEX(ExAnte!$G$6:$G$55,MATCH(A41,ExAnte!$A$6:$A$55,0))),INDEX(ExAnte!$G$6:$G$55,MATCH(A41,ExAnte!$A$6:$A$55,0)),""),"")),ISNUMBER(IF(COUNTIF(ExPost!$A$6:$A$55,A41)=1,IF(ISNUMBER(INDEX(ExPost!$G$6:$G$55,MATCH(A41,ExPost!$A$6:$A$55,0))),INDEX(ExPost!$G$6:$G$55,MATCH(A41,ExPost!$A$6:$A$55,0)),""),""))),(IF(COUNTIF(ExPost!$A$6:$A$55,A41)=1,IF(ISNUMBER(INDEX(ExPost!$G$6:$G$55,MATCH(A41,ExPost!$A$6:$A$55,0))),INDEX(ExPost!$G$6:$G$55,MATCH(A41,ExPost!$A$6:$A$55,0)),""),""))-(IF(COUNTIF(ExAnte!$A$6:$A$55,A41)=1,IF(ISNUMBER(INDEX(ExAnte!$G$6:$G$55,MATCH(A41,ExAnte!$A$6:$A$55,0))),INDEX(ExAnte!$G$6:$G$55,MATCH(A41,ExAnte!$A$6:$A$55,0)),""),"")),"")</x:f>
      </x:c>
      <x:c r="I41" s="41" t="str">
        <x:f>IF(AND(ISNUMBER(IF(COUNTIF(ExAnte!$A$6:$A$55,A41)=1,IF(ISNUMBER(INDEX(ExAnte!$H$6:$H$55,MATCH(A41,ExAnte!$A$6:$A$55,0))),INDEX(ExAnte!$H$6:$H$55,MATCH(A41,ExAnte!$A$6:$A$55,0)),""),"")),ISNUMBER(IF(COUNTIF(ExPost!$A$6:$A$55,A41)=1,IF(ISNUMBER(INDEX(ExPost!$H$6:$H$55,MATCH(A41,ExPost!$A$6:$A$55,0))),INDEX(ExPost!$H$6:$H$55,MATCH(A41,ExPost!$A$6:$A$55,0)),""),""))),(IF(COUNTIF(ExPost!$A$6:$A$55,A41)=1,IF(ISNUMBER(INDEX(ExPost!$H$6:$H$55,MATCH(A41,ExPost!$A$6:$A$55,0))),INDEX(ExPost!$H$6:$H$55,MATCH(A41,ExPost!$A$6:$A$55,0)),""),""))-(IF(COUNTIF(ExAnte!$A$6:$A$55,A41)=1,IF(ISNUMBER(INDEX(ExAnte!$H$6:$H$55,MATCH(A41,ExAnte!$A$6:$A$55,0))),INDEX(ExAnte!$H$6:$H$55,MATCH(A41,ExAnte!$A$6:$A$55,0)),""),"")),"")</x:f>
      </x:c>
      <x:c r="J41" s="41" t="str">
        <x:f>IF(COUNT(F41:I41)=4,F41-(G41-H41-I41),"")</x:f>
      </x:c>
      <x:c r="K41" s="36"/>
      <x:c r="L41" s="41" t="str">
        <x:f>IF(A41="","",IF(AND(B41="YES",C41&lt;&gt;"",ISNUMBER(J41),ABS(J41)&lt;=Profile!$B$18),"ARITHMETIC MATCH","HOLD: BASIS / RECORD"))</x:f>
      </x:c>
    </x:row>
    <x:row r="42" ht="23" customHeight="1">
      <x:c r="A42" s="38"/>
      <x:c r="B42" s="36"/>
      <x:c r="C42" s="36"/>
      <x:c r="D42" s="41" t="str">
        <x:f>IF(COUNTIF(ExAnte!$A$6:$A$55,A42)=1,IF(ISNUMBER(INDEX(ExAnte!$I$6:$I$55,MATCH(A42,ExAnte!$A$6:$A$55,0))),INDEX(ExAnte!$I$6:$I$55,MATCH(A42,ExAnte!$A$6:$A$55,0)),""),"")</x:f>
      </x:c>
      <x:c r="E42" s="41" t="str">
        <x:f>IF(COUNTIF(ExPost!$A$6:$A$55,A42)=1,IF(ISNUMBER(INDEX(ExPost!$I$6:$I$55,MATCH(A42,ExPost!$A$6:$A$55,0))),INDEX(ExPost!$I$6:$I$55,MATCH(A42,ExPost!$A$6:$A$55,0)),""),"")</x:f>
      </x:c>
      <x:c r="F42" s="41" t="str">
        <x:f>IF(COUNT(D42:E42)=2,E42-D42,"")</x:f>
      </x:c>
      <x:c r="G42" s="41" t="str">
        <x:f>IF(AND(ISNUMBER(IF(COUNTIF(ExAnte!$A$6:$A$55,A42)=1,IF(ISNUMBER(INDEX(ExAnte!$F$6:$F$55,MATCH(A42,ExAnte!$A$6:$A$55,0))),INDEX(ExAnte!$F$6:$F$55,MATCH(A42,ExAnte!$A$6:$A$55,0)),""),"")),ISNUMBER(IF(COUNTIF(ExPost!$A$6:$A$55,A42)=1,IF(ISNUMBER(INDEX(ExPost!$F$6:$F$55,MATCH(A42,ExPost!$A$6:$A$55,0))),INDEX(ExPost!$F$6:$F$55,MATCH(A42,ExPost!$A$6:$A$55,0)),""),""))),(IF(COUNTIF(ExPost!$A$6:$A$55,A42)=1,IF(ISNUMBER(INDEX(ExPost!$F$6:$F$55,MATCH(A42,ExPost!$A$6:$A$55,0))),INDEX(ExPost!$F$6:$F$55,MATCH(A42,ExPost!$A$6:$A$55,0)),""),""))-(IF(COUNTIF(ExAnte!$A$6:$A$55,A42)=1,IF(ISNUMBER(INDEX(ExAnte!$F$6:$F$55,MATCH(A42,ExAnte!$A$6:$A$55,0))),INDEX(ExAnte!$F$6:$F$55,MATCH(A42,ExAnte!$A$6:$A$55,0)),""),"")),"")</x:f>
      </x:c>
      <x:c r="H42" s="41" t="str">
        <x:f>IF(AND(ISNUMBER(IF(COUNTIF(ExAnte!$A$6:$A$55,A42)=1,IF(ISNUMBER(INDEX(ExAnte!$G$6:$G$55,MATCH(A42,ExAnte!$A$6:$A$55,0))),INDEX(ExAnte!$G$6:$G$55,MATCH(A42,ExAnte!$A$6:$A$55,0)),""),"")),ISNUMBER(IF(COUNTIF(ExPost!$A$6:$A$55,A42)=1,IF(ISNUMBER(INDEX(ExPost!$G$6:$G$55,MATCH(A42,ExPost!$A$6:$A$55,0))),INDEX(ExPost!$G$6:$G$55,MATCH(A42,ExPost!$A$6:$A$55,0)),""),""))),(IF(COUNTIF(ExPost!$A$6:$A$55,A42)=1,IF(ISNUMBER(INDEX(ExPost!$G$6:$G$55,MATCH(A42,ExPost!$A$6:$A$55,0))),INDEX(ExPost!$G$6:$G$55,MATCH(A42,ExPost!$A$6:$A$55,0)),""),""))-(IF(COUNTIF(ExAnte!$A$6:$A$55,A42)=1,IF(ISNUMBER(INDEX(ExAnte!$G$6:$G$55,MATCH(A42,ExAnte!$A$6:$A$55,0))),INDEX(ExAnte!$G$6:$G$55,MATCH(A42,ExAnte!$A$6:$A$55,0)),""),"")),"")</x:f>
      </x:c>
      <x:c r="I42" s="41" t="str">
        <x:f>IF(AND(ISNUMBER(IF(COUNTIF(ExAnte!$A$6:$A$55,A42)=1,IF(ISNUMBER(INDEX(ExAnte!$H$6:$H$55,MATCH(A42,ExAnte!$A$6:$A$55,0))),INDEX(ExAnte!$H$6:$H$55,MATCH(A42,ExAnte!$A$6:$A$55,0)),""),"")),ISNUMBER(IF(COUNTIF(ExPost!$A$6:$A$55,A42)=1,IF(ISNUMBER(INDEX(ExPost!$H$6:$H$55,MATCH(A42,ExPost!$A$6:$A$55,0))),INDEX(ExPost!$H$6:$H$55,MATCH(A42,ExPost!$A$6:$A$55,0)),""),""))),(IF(COUNTIF(ExPost!$A$6:$A$55,A42)=1,IF(ISNUMBER(INDEX(ExPost!$H$6:$H$55,MATCH(A42,ExPost!$A$6:$A$55,0))),INDEX(ExPost!$H$6:$H$55,MATCH(A42,ExPost!$A$6:$A$55,0)),""),""))-(IF(COUNTIF(ExAnte!$A$6:$A$55,A42)=1,IF(ISNUMBER(INDEX(ExAnte!$H$6:$H$55,MATCH(A42,ExAnte!$A$6:$A$55,0))),INDEX(ExAnte!$H$6:$H$55,MATCH(A42,ExAnte!$A$6:$A$55,0)),""),"")),"")</x:f>
      </x:c>
      <x:c r="J42" s="41" t="str">
        <x:f>IF(COUNT(F42:I42)=4,F42-(G42-H42-I42),"")</x:f>
      </x:c>
      <x:c r="K42" s="36"/>
      <x:c r="L42" s="41" t="str">
        <x:f>IF(A42="","",IF(AND(B42="YES",C42&lt;&gt;"",ISNUMBER(J42),ABS(J42)&lt;=Profile!$B$18),"ARITHMETIC MATCH","HOLD: BASIS / RECORD"))</x:f>
      </x:c>
    </x:row>
    <x:row r="43" ht="23" customHeight="1">
      <x:c r="A43" s="38"/>
      <x:c r="B43" s="36"/>
      <x:c r="C43" s="36"/>
      <x:c r="D43" s="41" t="str">
        <x:f>IF(COUNTIF(ExAnte!$A$6:$A$55,A43)=1,IF(ISNUMBER(INDEX(ExAnte!$I$6:$I$55,MATCH(A43,ExAnte!$A$6:$A$55,0))),INDEX(ExAnte!$I$6:$I$55,MATCH(A43,ExAnte!$A$6:$A$55,0)),""),"")</x:f>
      </x:c>
      <x:c r="E43" s="41" t="str">
        <x:f>IF(COUNTIF(ExPost!$A$6:$A$55,A43)=1,IF(ISNUMBER(INDEX(ExPost!$I$6:$I$55,MATCH(A43,ExPost!$A$6:$A$55,0))),INDEX(ExPost!$I$6:$I$55,MATCH(A43,ExPost!$A$6:$A$55,0)),""),"")</x:f>
      </x:c>
      <x:c r="F43" s="41" t="str">
        <x:f>IF(COUNT(D43:E43)=2,E43-D43,"")</x:f>
      </x:c>
      <x:c r="G43" s="41" t="str">
        <x:f>IF(AND(ISNUMBER(IF(COUNTIF(ExAnte!$A$6:$A$55,A43)=1,IF(ISNUMBER(INDEX(ExAnte!$F$6:$F$55,MATCH(A43,ExAnte!$A$6:$A$55,0))),INDEX(ExAnte!$F$6:$F$55,MATCH(A43,ExAnte!$A$6:$A$55,0)),""),"")),ISNUMBER(IF(COUNTIF(ExPost!$A$6:$A$55,A43)=1,IF(ISNUMBER(INDEX(ExPost!$F$6:$F$55,MATCH(A43,ExPost!$A$6:$A$55,0))),INDEX(ExPost!$F$6:$F$55,MATCH(A43,ExPost!$A$6:$A$55,0)),""),""))),(IF(COUNTIF(ExPost!$A$6:$A$55,A43)=1,IF(ISNUMBER(INDEX(ExPost!$F$6:$F$55,MATCH(A43,ExPost!$A$6:$A$55,0))),INDEX(ExPost!$F$6:$F$55,MATCH(A43,ExPost!$A$6:$A$55,0)),""),""))-(IF(COUNTIF(ExAnte!$A$6:$A$55,A43)=1,IF(ISNUMBER(INDEX(ExAnte!$F$6:$F$55,MATCH(A43,ExAnte!$A$6:$A$55,0))),INDEX(ExAnte!$F$6:$F$55,MATCH(A43,ExAnte!$A$6:$A$55,0)),""),"")),"")</x:f>
      </x:c>
      <x:c r="H43" s="41" t="str">
        <x:f>IF(AND(ISNUMBER(IF(COUNTIF(ExAnte!$A$6:$A$55,A43)=1,IF(ISNUMBER(INDEX(ExAnte!$G$6:$G$55,MATCH(A43,ExAnte!$A$6:$A$55,0))),INDEX(ExAnte!$G$6:$G$55,MATCH(A43,ExAnte!$A$6:$A$55,0)),""),"")),ISNUMBER(IF(COUNTIF(ExPost!$A$6:$A$55,A43)=1,IF(ISNUMBER(INDEX(ExPost!$G$6:$G$55,MATCH(A43,ExPost!$A$6:$A$55,0))),INDEX(ExPost!$G$6:$G$55,MATCH(A43,ExPost!$A$6:$A$55,0)),""),""))),(IF(COUNTIF(ExPost!$A$6:$A$55,A43)=1,IF(ISNUMBER(INDEX(ExPost!$G$6:$G$55,MATCH(A43,ExPost!$A$6:$A$55,0))),INDEX(ExPost!$G$6:$G$55,MATCH(A43,ExPost!$A$6:$A$55,0)),""),""))-(IF(COUNTIF(ExAnte!$A$6:$A$55,A43)=1,IF(ISNUMBER(INDEX(ExAnte!$G$6:$G$55,MATCH(A43,ExAnte!$A$6:$A$55,0))),INDEX(ExAnte!$G$6:$G$55,MATCH(A43,ExAnte!$A$6:$A$55,0)),""),"")),"")</x:f>
      </x:c>
      <x:c r="I43" s="41" t="str">
        <x:f>IF(AND(ISNUMBER(IF(COUNTIF(ExAnte!$A$6:$A$55,A43)=1,IF(ISNUMBER(INDEX(ExAnte!$H$6:$H$55,MATCH(A43,ExAnte!$A$6:$A$55,0))),INDEX(ExAnte!$H$6:$H$55,MATCH(A43,ExAnte!$A$6:$A$55,0)),""),"")),ISNUMBER(IF(COUNTIF(ExPost!$A$6:$A$55,A43)=1,IF(ISNUMBER(INDEX(ExPost!$H$6:$H$55,MATCH(A43,ExPost!$A$6:$A$55,0))),INDEX(ExPost!$H$6:$H$55,MATCH(A43,ExPost!$A$6:$A$55,0)),""),""))),(IF(COUNTIF(ExPost!$A$6:$A$55,A43)=1,IF(ISNUMBER(INDEX(ExPost!$H$6:$H$55,MATCH(A43,ExPost!$A$6:$A$55,0))),INDEX(ExPost!$H$6:$H$55,MATCH(A43,ExPost!$A$6:$A$55,0)),""),""))-(IF(COUNTIF(ExAnte!$A$6:$A$55,A43)=1,IF(ISNUMBER(INDEX(ExAnte!$H$6:$H$55,MATCH(A43,ExAnte!$A$6:$A$55,0))),INDEX(ExAnte!$H$6:$H$55,MATCH(A43,ExAnte!$A$6:$A$55,0)),""),"")),"")</x:f>
      </x:c>
      <x:c r="J43" s="41" t="str">
        <x:f>IF(COUNT(F43:I43)=4,F43-(G43-H43-I43),"")</x:f>
      </x:c>
      <x:c r="K43" s="36"/>
      <x:c r="L43" s="41" t="str">
        <x:f>IF(A43="","",IF(AND(B43="YES",C43&lt;&gt;"",ISNUMBER(J43),ABS(J43)&lt;=Profile!$B$18),"ARITHMETIC MATCH","HOLD: BASIS / RECORD"))</x:f>
      </x:c>
    </x:row>
    <x:row r="44" ht="23" customHeight="1">
      <x:c r="A44" s="38"/>
      <x:c r="B44" s="36"/>
      <x:c r="C44" s="36"/>
      <x:c r="D44" s="41" t="str">
        <x:f>IF(COUNTIF(ExAnte!$A$6:$A$55,A44)=1,IF(ISNUMBER(INDEX(ExAnte!$I$6:$I$55,MATCH(A44,ExAnte!$A$6:$A$55,0))),INDEX(ExAnte!$I$6:$I$55,MATCH(A44,ExAnte!$A$6:$A$55,0)),""),"")</x:f>
      </x:c>
      <x:c r="E44" s="41" t="str">
        <x:f>IF(COUNTIF(ExPost!$A$6:$A$55,A44)=1,IF(ISNUMBER(INDEX(ExPost!$I$6:$I$55,MATCH(A44,ExPost!$A$6:$A$55,0))),INDEX(ExPost!$I$6:$I$55,MATCH(A44,ExPost!$A$6:$A$55,0)),""),"")</x:f>
      </x:c>
      <x:c r="F44" s="41" t="str">
        <x:f>IF(COUNT(D44:E44)=2,E44-D44,"")</x:f>
      </x:c>
      <x:c r="G44" s="41" t="str">
        <x:f>IF(AND(ISNUMBER(IF(COUNTIF(ExAnte!$A$6:$A$55,A44)=1,IF(ISNUMBER(INDEX(ExAnte!$F$6:$F$55,MATCH(A44,ExAnte!$A$6:$A$55,0))),INDEX(ExAnte!$F$6:$F$55,MATCH(A44,ExAnte!$A$6:$A$55,0)),""),"")),ISNUMBER(IF(COUNTIF(ExPost!$A$6:$A$55,A44)=1,IF(ISNUMBER(INDEX(ExPost!$F$6:$F$55,MATCH(A44,ExPost!$A$6:$A$55,0))),INDEX(ExPost!$F$6:$F$55,MATCH(A44,ExPost!$A$6:$A$55,0)),""),""))),(IF(COUNTIF(ExPost!$A$6:$A$55,A44)=1,IF(ISNUMBER(INDEX(ExPost!$F$6:$F$55,MATCH(A44,ExPost!$A$6:$A$55,0))),INDEX(ExPost!$F$6:$F$55,MATCH(A44,ExPost!$A$6:$A$55,0)),""),""))-(IF(COUNTIF(ExAnte!$A$6:$A$55,A44)=1,IF(ISNUMBER(INDEX(ExAnte!$F$6:$F$55,MATCH(A44,ExAnte!$A$6:$A$55,0))),INDEX(ExAnte!$F$6:$F$55,MATCH(A44,ExAnte!$A$6:$A$55,0)),""),"")),"")</x:f>
      </x:c>
      <x:c r="H44" s="41" t="str">
        <x:f>IF(AND(ISNUMBER(IF(COUNTIF(ExAnte!$A$6:$A$55,A44)=1,IF(ISNUMBER(INDEX(ExAnte!$G$6:$G$55,MATCH(A44,ExAnte!$A$6:$A$55,0))),INDEX(ExAnte!$G$6:$G$55,MATCH(A44,ExAnte!$A$6:$A$55,0)),""),"")),ISNUMBER(IF(COUNTIF(ExPost!$A$6:$A$55,A44)=1,IF(ISNUMBER(INDEX(ExPost!$G$6:$G$55,MATCH(A44,ExPost!$A$6:$A$55,0))),INDEX(ExPost!$G$6:$G$55,MATCH(A44,ExPost!$A$6:$A$55,0)),""),""))),(IF(COUNTIF(ExPost!$A$6:$A$55,A44)=1,IF(ISNUMBER(INDEX(ExPost!$G$6:$G$55,MATCH(A44,ExPost!$A$6:$A$55,0))),INDEX(ExPost!$G$6:$G$55,MATCH(A44,ExPost!$A$6:$A$55,0)),""),""))-(IF(COUNTIF(ExAnte!$A$6:$A$55,A44)=1,IF(ISNUMBER(INDEX(ExAnte!$G$6:$G$55,MATCH(A44,ExAnte!$A$6:$A$55,0))),INDEX(ExAnte!$G$6:$G$55,MATCH(A44,ExAnte!$A$6:$A$55,0)),""),"")),"")</x:f>
      </x:c>
      <x:c r="I44" s="41" t="str">
        <x:f>IF(AND(ISNUMBER(IF(COUNTIF(ExAnte!$A$6:$A$55,A44)=1,IF(ISNUMBER(INDEX(ExAnte!$H$6:$H$55,MATCH(A44,ExAnte!$A$6:$A$55,0))),INDEX(ExAnte!$H$6:$H$55,MATCH(A44,ExAnte!$A$6:$A$55,0)),""),"")),ISNUMBER(IF(COUNTIF(ExPost!$A$6:$A$55,A44)=1,IF(ISNUMBER(INDEX(ExPost!$H$6:$H$55,MATCH(A44,ExPost!$A$6:$A$55,0))),INDEX(ExPost!$H$6:$H$55,MATCH(A44,ExPost!$A$6:$A$55,0)),""),""))),(IF(COUNTIF(ExPost!$A$6:$A$55,A44)=1,IF(ISNUMBER(INDEX(ExPost!$H$6:$H$55,MATCH(A44,ExPost!$A$6:$A$55,0))),INDEX(ExPost!$H$6:$H$55,MATCH(A44,ExPost!$A$6:$A$55,0)),""),""))-(IF(COUNTIF(ExAnte!$A$6:$A$55,A44)=1,IF(ISNUMBER(INDEX(ExAnte!$H$6:$H$55,MATCH(A44,ExAnte!$A$6:$A$55,0))),INDEX(ExAnte!$H$6:$H$55,MATCH(A44,ExAnte!$A$6:$A$55,0)),""),"")),"")</x:f>
      </x:c>
      <x:c r="J44" s="41" t="str">
        <x:f>IF(COUNT(F44:I44)=4,F44-(G44-H44-I44),"")</x:f>
      </x:c>
      <x:c r="K44" s="36"/>
      <x:c r="L44" s="41" t="str">
        <x:f>IF(A44="","",IF(AND(B44="YES",C44&lt;&gt;"",ISNUMBER(J44),ABS(J44)&lt;=Profile!$B$18),"ARITHMETIC MATCH","HOLD: BASIS / RECORD"))</x:f>
      </x:c>
    </x:row>
    <x:row r="45" ht="23" customHeight="1">
      <x:c r="A45" s="38"/>
      <x:c r="B45" s="36"/>
      <x:c r="C45" s="36"/>
      <x:c r="D45" s="41" t="str">
        <x:f>IF(COUNTIF(ExAnte!$A$6:$A$55,A45)=1,IF(ISNUMBER(INDEX(ExAnte!$I$6:$I$55,MATCH(A45,ExAnte!$A$6:$A$55,0))),INDEX(ExAnte!$I$6:$I$55,MATCH(A45,ExAnte!$A$6:$A$55,0)),""),"")</x:f>
      </x:c>
      <x:c r="E45" s="41" t="str">
        <x:f>IF(COUNTIF(ExPost!$A$6:$A$55,A45)=1,IF(ISNUMBER(INDEX(ExPost!$I$6:$I$55,MATCH(A45,ExPost!$A$6:$A$55,0))),INDEX(ExPost!$I$6:$I$55,MATCH(A45,ExPost!$A$6:$A$55,0)),""),"")</x:f>
      </x:c>
      <x:c r="F45" s="41" t="str">
        <x:f>IF(COUNT(D45:E45)=2,E45-D45,"")</x:f>
      </x:c>
      <x:c r="G45" s="41" t="str">
        <x:f>IF(AND(ISNUMBER(IF(COUNTIF(ExAnte!$A$6:$A$55,A45)=1,IF(ISNUMBER(INDEX(ExAnte!$F$6:$F$55,MATCH(A45,ExAnte!$A$6:$A$55,0))),INDEX(ExAnte!$F$6:$F$55,MATCH(A45,ExAnte!$A$6:$A$55,0)),""),"")),ISNUMBER(IF(COUNTIF(ExPost!$A$6:$A$55,A45)=1,IF(ISNUMBER(INDEX(ExPost!$F$6:$F$55,MATCH(A45,ExPost!$A$6:$A$55,0))),INDEX(ExPost!$F$6:$F$55,MATCH(A45,ExPost!$A$6:$A$55,0)),""),""))),(IF(COUNTIF(ExPost!$A$6:$A$55,A45)=1,IF(ISNUMBER(INDEX(ExPost!$F$6:$F$55,MATCH(A45,ExPost!$A$6:$A$55,0))),INDEX(ExPost!$F$6:$F$55,MATCH(A45,ExPost!$A$6:$A$55,0)),""),""))-(IF(COUNTIF(ExAnte!$A$6:$A$55,A45)=1,IF(ISNUMBER(INDEX(ExAnte!$F$6:$F$55,MATCH(A45,ExAnte!$A$6:$A$55,0))),INDEX(ExAnte!$F$6:$F$55,MATCH(A45,ExAnte!$A$6:$A$55,0)),""),"")),"")</x:f>
      </x:c>
      <x:c r="H45" s="41" t="str">
        <x:f>IF(AND(ISNUMBER(IF(COUNTIF(ExAnte!$A$6:$A$55,A45)=1,IF(ISNUMBER(INDEX(ExAnte!$G$6:$G$55,MATCH(A45,ExAnte!$A$6:$A$55,0))),INDEX(ExAnte!$G$6:$G$55,MATCH(A45,ExAnte!$A$6:$A$55,0)),""),"")),ISNUMBER(IF(COUNTIF(ExPost!$A$6:$A$55,A45)=1,IF(ISNUMBER(INDEX(ExPost!$G$6:$G$55,MATCH(A45,ExPost!$A$6:$A$55,0))),INDEX(ExPost!$G$6:$G$55,MATCH(A45,ExPost!$A$6:$A$55,0)),""),""))),(IF(COUNTIF(ExPost!$A$6:$A$55,A45)=1,IF(ISNUMBER(INDEX(ExPost!$G$6:$G$55,MATCH(A45,ExPost!$A$6:$A$55,0))),INDEX(ExPost!$G$6:$G$55,MATCH(A45,ExPost!$A$6:$A$55,0)),""),""))-(IF(COUNTIF(ExAnte!$A$6:$A$55,A45)=1,IF(ISNUMBER(INDEX(ExAnte!$G$6:$G$55,MATCH(A45,ExAnte!$A$6:$A$55,0))),INDEX(ExAnte!$G$6:$G$55,MATCH(A45,ExAnte!$A$6:$A$55,0)),""),"")),"")</x:f>
      </x:c>
      <x:c r="I45" s="41" t="str">
        <x:f>IF(AND(ISNUMBER(IF(COUNTIF(ExAnte!$A$6:$A$55,A45)=1,IF(ISNUMBER(INDEX(ExAnte!$H$6:$H$55,MATCH(A45,ExAnte!$A$6:$A$55,0))),INDEX(ExAnte!$H$6:$H$55,MATCH(A45,ExAnte!$A$6:$A$55,0)),""),"")),ISNUMBER(IF(COUNTIF(ExPost!$A$6:$A$55,A45)=1,IF(ISNUMBER(INDEX(ExPost!$H$6:$H$55,MATCH(A45,ExPost!$A$6:$A$55,0))),INDEX(ExPost!$H$6:$H$55,MATCH(A45,ExPost!$A$6:$A$55,0)),""),""))),(IF(COUNTIF(ExPost!$A$6:$A$55,A45)=1,IF(ISNUMBER(INDEX(ExPost!$H$6:$H$55,MATCH(A45,ExPost!$A$6:$A$55,0))),INDEX(ExPost!$H$6:$H$55,MATCH(A45,ExPost!$A$6:$A$55,0)),""),""))-(IF(COUNTIF(ExAnte!$A$6:$A$55,A45)=1,IF(ISNUMBER(INDEX(ExAnte!$H$6:$H$55,MATCH(A45,ExAnte!$A$6:$A$55,0))),INDEX(ExAnte!$H$6:$H$55,MATCH(A45,ExAnte!$A$6:$A$55,0)),""),"")),"")</x:f>
      </x:c>
      <x:c r="J45" s="41" t="str">
        <x:f>IF(COUNT(F45:I45)=4,F45-(G45-H45-I45),"")</x:f>
      </x:c>
      <x:c r="K45" s="36"/>
      <x:c r="L45" s="41" t="str">
        <x:f>IF(A45="","",IF(AND(B45="YES",C45&lt;&gt;"",ISNUMBER(J45),ABS(J45)&lt;=Profile!$B$18),"ARITHMETIC MATCH","HOLD: BASIS / RECORD"))</x:f>
      </x:c>
    </x:row>
    <x:row r="46" ht="23" customHeight="1">
      <x:c r="A46" s="38"/>
      <x:c r="B46" s="36"/>
      <x:c r="C46" s="36"/>
      <x:c r="D46" s="41" t="str">
        <x:f>IF(COUNTIF(ExAnte!$A$6:$A$55,A46)=1,IF(ISNUMBER(INDEX(ExAnte!$I$6:$I$55,MATCH(A46,ExAnte!$A$6:$A$55,0))),INDEX(ExAnte!$I$6:$I$55,MATCH(A46,ExAnte!$A$6:$A$55,0)),""),"")</x:f>
      </x:c>
      <x:c r="E46" s="41" t="str">
        <x:f>IF(COUNTIF(ExPost!$A$6:$A$55,A46)=1,IF(ISNUMBER(INDEX(ExPost!$I$6:$I$55,MATCH(A46,ExPost!$A$6:$A$55,0))),INDEX(ExPost!$I$6:$I$55,MATCH(A46,ExPost!$A$6:$A$55,0)),""),"")</x:f>
      </x:c>
      <x:c r="F46" s="41" t="str">
        <x:f>IF(COUNT(D46:E46)=2,E46-D46,"")</x:f>
      </x:c>
      <x:c r="G46" s="41" t="str">
        <x:f>IF(AND(ISNUMBER(IF(COUNTIF(ExAnte!$A$6:$A$55,A46)=1,IF(ISNUMBER(INDEX(ExAnte!$F$6:$F$55,MATCH(A46,ExAnte!$A$6:$A$55,0))),INDEX(ExAnte!$F$6:$F$55,MATCH(A46,ExAnte!$A$6:$A$55,0)),""),"")),ISNUMBER(IF(COUNTIF(ExPost!$A$6:$A$55,A46)=1,IF(ISNUMBER(INDEX(ExPost!$F$6:$F$55,MATCH(A46,ExPost!$A$6:$A$55,0))),INDEX(ExPost!$F$6:$F$55,MATCH(A46,ExPost!$A$6:$A$55,0)),""),""))),(IF(COUNTIF(ExPost!$A$6:$A$55,A46)=1,IF(ISNUMBER(INDEX(ExPost!$F$6:$F$55,MATCH(A46,ExPost!$A$6:$A$55,0))),INDEX(ExPost!$F$6:$F$55,MATCH(A46,ExPost!$A$6:$A$55,0)),""),""))-(IF(COUNTIF(ExAnte!$A$6:$A$55,A46)=1,IF(ISNUMBER(INDEX(ExAnte!$F$6:$F$55,MATCH(A46,ExAnte!$A$6:$A$55,0))),INDEX(ExAnte!$F$6:$F$55,MATCH(A46,ExAnte!$A$6:$A$55,0)),""),"")),"")</x:f>
      </x:c>
      <x:c r="H46" s="41" t="str">
        <x:f>IF(AND(ISNUMBER(IF(COUNTIF(ExAnte!$A$6:$A$55,A46)=1,IF(ISNUMBER(INDEX(ExAnte!$G$6:$G$55,MATCH(A46,ExAnte!$A$6:$A$55,0))),INDEX(ExAnte!$G$6:$G$55,MATCH(A46,ExAnte!$A$6:$A$55,0)),""),"")),ISNUMBER(IF(COUNTIF(ExPost!$A$6:$A$55,A46)=1,IF(ISNUMBER(INDEX(ExPost!$G$6:$G$55,MATCH(A46,ExPost!$A$6:$A$55,0))),INDEX(ExPost!$G$6:$G$55,MATCH(A46,ExPost!$A$6:$A$55,0)),""),""))),(IF(COUNTIF(ExPost!$A$6:$A$55,A46)=1,IF(ISNUMBER(INDEX(ExPost!$G$6:$G$55,MATCH(A46,ExPost!$A$6:$A$55,0))),INDEX(ExPost!$G$6:$G$55,MATCH(A46,ExPost!$A$6:$A$55,0)),""),""))-(IF(COUNTIF(ExAnte!$A$6:$A$55,A46)=1,IF(ISNUMBER(INDEX(ExAnte!$G$6:$G$55,MATCH(A46,ExAnte!$A$6:$A$55,0))),INDEX(ExAnte!$G$6:$G$55,MATCH(A46,ExAnte!$A$6:$A$55,0)),""),"")),"")</x:f>
      </x:c>
      <x:c r="I46" s="41" t="str">
        <x:f>IF(AND(ISNUMBER(IF(COUNTIF(ExAnte!$A$6:$A$55,A46)=1,IF(ISNUMBER(INDEX(ExAnte!$H$6:$H$55,MATCH(A46,ExAnte!$A$6:$A$55,0))),INDEX(ExAnte!$H$6:$H$55,MATCH(A46,ExAnte!$A$6:$A$55,0)),""),"")),ISNUMBER(IF(COUNTIF(ExPost!$A$6:$A$55,A46)=1,IF(ISNUMBER(INDEX(ExPost!$H$6:$H$55,MATCH(A46,ExPost!$A$6:$A$55,0))),INDEX(ExPost!$H$6:$H$55,MATCH(A46,ExPost!$A$6:$A$55,0)),""),""))),(IF(COUNTIF(ExPost!$A$6:$A$55,A46)=1,IF(ISNUMBER(INDEX(ExPost!$H$6:$H$55,MATCH(A46,ExPost!$A$6:$A$55,0))),INDEX(ExPost!$H$6:$H$55,MATCH(A46,ExPost!$A$6:$A$55,0)),""),""))-(IF(COUNTIF(ExAnte!$A$6:$A$55,A46)=1,IF(ISNUMBER(INDEX(ExAnte!$H$6:$H$55,MATCH(A46,ExAnte!$A$6:$A$55,0))),INDEX(ExAnte!$H$6:$H$55,MATCH(A46,ExAnte!$A$6:$A$55,0)),""),"")),"")</x:f>
      </x:c>
      <x:c r="J46" s="41" t="str">
        <x:f>IF(COUNT(F46:I46)=4,F46-(G46-H46-I46),"")</x:f>
      </x:c>
      <x:c r="K46" s="36"/>
      <x:c r="L46" s="41" t="str">
        <x:f>IF(A46="","",IF(AND(B46="YES",C46&lt;&gt;"",ISNUMBER(J46),ABS(J46)&lt;=Profile!$B$18),"ARITHMETIC MATCH","HOLD: BASIS / RECORD"))</x:f>
      </x:c>
    </x:row>
    <x:row r="47" ht="23" customHeight="1">
      <x:c r="A47" s="38"/>
      <x:c r="B47" s="36"/>
      <x:c r="C47" s="36"/>
      <x:c r="D47" s="41" t="str">
        <x:f>IF(COUNTIF(ExAnte!$A$6:$A$55,A47)=1,IF(ISNUMBER(INDEX(ExAnte!$I$6:$I$55,MATCH(A47,ExAnte!$A$6:$A$55,0))),INDEX(ExAnte!$I$6:$I$55,MATCH(A47,ExAnte!$A$6:$A$55,0)),""),"")</x:f>
      </x:c>
      <x:c r="E47" s="41" t="str">
        <x:f>IF(COUNTIF(ExPost!$A$6:$A$55,A47)=1,IF(ISNUMBER(INDEX(ExPost!$I$6:$I$55,MATCH(A47,ExPost!$A$6:$A$55,0))),INDEX(ExPost!$I$6:$I$55,MATCH(A47,ExPost!$A$6:$A$55,0)),""),"")</x:f>
      </x:c>
      <x:c r="F47" s="41" t="str">
        <x:f>IF(COUNT(D47:E47)=2,E47-D47,"")</x:f>
      </x:c>
      <x:c r="G47" s="41" t="str">
        <x:f>IF(AND(ISNUMBER(IF(COUNTIF(ExAnte!$A$6:$A$55,A47)=1,IF(ISNUMBER(INDEX(ExAnte!$F$6:$F$55,MATCH(A47,ExAnte!$A$6:$A$55,0))),INDEX(ExAnte!$F$6:$F$55,MATCH(A47,ExAnte!$A$6:$A$55,0)),""),"")),ISNUMBER(IF(COUNTIF(ExPost!$A$6:$A$55,A47)=1,IF(ISNUMBER(INDEX(ExPost!$F$6:$F$55,MATCH(A47,ExPost!$A$6:$A$55,0))),INDEX(ExPost!$F$6:$F$55,MATCH(A47,ExPost!$A$6:$A$55,0)),""),""))),(IF(COUNTIF(ExPost!$A$6:$A$55,A47)=1,IF(ISNUMBER(INDEX(ExPost!$F$6:$F$55,MATCH(A47,ExPost!$A$6:$A$55,0))),INDEX(ExPost!$F$6:$F$55,MATCH(A47,ExPost!$A$6:$A$55,0)),""),""))-(IF(COUNTIF(ExAnte!$A$6:$A$55,A47)=1,IF(ISNUMBER(INDEX(ExAnte!$F$6:$F$55,MATCH(A47,ExAnte!$A$6:$A$55,0))),INDEX(ExAnte!$F$6:$F$55,MATCH(A47,ExAnte!$A$6:$A$55,0)),""),"")),"")</x:f>
      </x:c>
      <x:c r="H47" s="41" t="str">
        <x:f>IF(AND(ISNUMBER(IF(COUNTIF(ExAnte!$A$6:$A$55,A47)=1,IF(ISNUMBER(INDEX(ExAnte!$G$6:$G$55,MATCH(A47,ExAnte!$A$6:$A$55,0))),INDEX(ExAnte!$G$6:$G$55,MATCH(A47,ExAnte!$A$6:$A$55,0)),""),"")),ISNUMBER(IF(COUNTIF(ExPost!$A$6:$A$55,A47)=1,IF(ISNUMBER(INDEX(ExPost!$G$6:$G$55,MATCH(A47,ExPost!$A$6:$A$55,0))),INDEX(ExPost!$G$6:$G$55,MATCH(A47,ExPost!$A$6:$A$55,0)),""),""))),(IF(COUNTIF(ExPost!$A$6:$A$55,A47)=1,IF(ISNUMBER(INDEX(ExPost!$G$6:$G$55,MATCH(A47,ExPost!$A$6:$A$55,0))),INDEX(ExPost!$G$6:$G$55,MATCH(A47,ExPost!$A$6:$A$55,0)),""),""))-(IF(COUNTIF(ExAnte!$A$6:$A$55,A47)=1,IF(ISNUMBER(INDEX(ExAnte!$G$6:$G$55,MATCH(A47,ExAnte!$A$6:$A$55,0))),INDEX(ExAnte!$G$6:$G$55,MATCH(A47,ExAnte!$A$6:$A$55,0)),""),"")),"")</x:f>
      </x:c>
      <x:c r="I47" s="41" t="str">
        <x:f>IF(AND(ISNUMBER(IF(COUNTIF(ExAnte!$A$6:$A$55,A47)=1,IF(ISNUMBER(INDEX(ExAnte!$H$6:$H$55,MATCH(A47,ExAnte!$A$6:$A$55,0))),INDEX(ExAnte!$H$6:$H$55,MATCH(A47,ExAnte!$A$6:$A$55,0)),""),"")),ISNUMBER(IF(COUNTIF(ExPost!$A$6:$A$55,A47)=1,IF(ISNUMBER(INDEX(ExPost!$H$6:$H$55,MATCH(A47,ExPost!$A$6:$A$55,0))),INDEX(ExPost!$H$6:$H$55,MATCH(A47,ExPost!$A$6:$A$55,0)),""),""))),(IF(COUNTIF(ExPost!$A$6:$A$55,A47)=1,IF(ISNUMBER(INDEX(ExPost!$H$6:$H$55,MATCH(A47,ExPost!$A$6:$A$55,0))),INDEX(ExPost!$H$6:$H$55,MATCH(A47,ExPost!$A$6:$A$55,0)),""),""))-(IF(COUNTIF(ExAnte!$A$6:$A$55,A47)=1,IF(ISNUMBER(INDEX(ExAnte!$H$6:$H$55,MATCH(A47,ExAnte!$A$6:$A$55,0))),INDEX(ExAnte!$H$6:$H$55,MATCH(A47,ExAnte!$A$6:$A$55,0)),""),"")),"")</x:f>
      </x:c>
      <x:c r="J47" s="41" t="str">
        <x:f>IF(COUNT(F47:I47)=4,F47-(G47-H47-I47),"")</x:f>
      </x:c>
      <x:c r="K47" s="36"/>
      <x:c r="L47" s="41" t="str">
        <x:f>IF(A47="","",IF(AND(B47="YES",C47&lt;&gt;"",ISNUMBER(J47),ABS(J47)&lt;=Profile!$B$18),"ARITHMETIC MATCH","HOLD: BASIS / RECORD"))</x:f>
      </x:c>
    </x:row>
    <x:row r="48" ht="23" customHeight="1">
      <x:c r="A48" s="38"/>
      <x:c r="B48" s="36"/>
      <x:c r="C48" s="36"/>
      <x:c r="D48" s="41" t="str">
        <x:f>IF(COUNTIF(ExAnte!$A$6:$A$55,A48)=1,IF(ISNUMBER(INDEX(ExAnte!$I$6:$I$55,MATCH(A48,ExAnte!$A$6:$A$55,0))),INDEX(ExAnte!$I$6:$I$55,MATCH(A48,ExAnte!$A$6:$A$55,0)),""),"")</x:f>
      </x:c>
      <x:c r="E48" s="41" t="str">
        <x:f>IF(COUNTIF(ExPost!$A$6:$A$55,A48)=1,IF(ISNUMBER(INDEX(ExPost!$I$6:$I$55,MATCH(A48,ExPost!$A$6:$A$55,0))),INDEX(ExPost!$I$6:$I$55,MATCH(A48,ExPost!$A$6:$A$55,0)),""),"")</x:f>
      </x:c>
      <x:c r="F48" s="41" t="str">
        <x:f>IF(COUNT(D48:E48)=2,E48-D48,"")</x:f>
      </x:c>
      <x:c r="G48" s="41" t="str">
        <x:f>IF(AND(ISNUMBER(IF(COUNTIF(ExAnte!$A$6:$A$55,A48)=1,IF(ISNUMBER(INDEX(ExAnte!$F$6:$F$55,MATCH(A48,ExAnte!$A$6:$A$55,0))),INDEX(ExAnte!$F$6:$F$55,MATCH(A48,ExAnte!$A$6:$A$55,0)),""),"")),ISNUMBER(IF(COUNTIF(ExPost!$A$6:$A$55,A48)=1,IF(ISNUMBER(INDEX(ExPost!$F$6:$F$55,MATCH(A48,ExPost!$A$6:$A$55,0))),INDEX(ExPost!$F$6:$F$55,MATCH(A48,ExPost!$A$6:$A$55,0)),""),""))),(IF(COUNTIF(ExPost!$A$6:$A$55,A48)=1,IF(ISNUMBER(INDEX(ExPost!$F$6:$F$55,MATCH(A48,ExPost!$A$6:$A$55,0))),INDEX(ExPost!$F$6:$F$55,MATCH(A48,ExPost!$A$6:$A$55,0)),""),""))-(IF(COUNTIF(ExAnte!$A$6:$A$55,A48)=1,IF(ISNUMBER(INDEX(ExAnte!$F$6:$F$55,MATCH(A48,ExAnte!$A$6:$A$55,0))),INDEX(ExAnte!$F$6:$F$55,MATCH(A48,ExAnte!$A$6:$A$55,0)),""),"")),"")</x:f>
      </x:c>
      <x:c r="H48" s="41" t="str">
        <x:f>IF(AND(ISNUMBER(IF(COUNTIF(ExAnte!$A$6:$A$55,A48)=1,IF(ISNUMBER(INDEX(ExAnte!$G$6:$G$55,MATCH(A48,ExAnte!$A$6:$A$55,0))),INDEX(ExAnte!$G$6:$G$55,MATCH(A48,ExAnte!$A$6:$A$55,0)),""),"")),ISNUMBER(IF(COUNTIF(ExPost!$A$6:$A$55,A48)=1,IF(ISNUMBER(INDEX(ExPost!$G$6:$G$55,MATCH(A48,ExPost!$A$6:$A$55,0))),INDEX(ExPost!$G$6:$G$55,MATCH(A48,ExPost!$A$6:$A$55,0)),""),""))),(IF(COUNTIF(ExPost!$A$6:$A$55,A48)=1,IF(ISNUMBER(INDEX(ExPost!$G$6:$G$55,MATCH(A48,ExPost!$A$6:$A$55,0))),INDEX(ExPost!$G$6:$G$55,MATCH(A48,ExPost!$A$6:$A$55,0)),""),""))-(IF(COUNTIF(ExAnte!$A$6:$A$55,A48)=1,IF(ISNUMBER(INDEX(ExAnte!$G$6:$G$55,MATCH(A48,ExAnte!$A$6:$A$55,0))),INDEX(ExAnte!$G$6:$G$55,MATCH(A48,ExAnte!$A$6:$A$55,0)),""),"")),"")</x:f>
      </x:c>
      <x:c r="I48" s="41" t="str">
        <x:f>IF(AND(ISNUMBER(IF(COUNTIF(ExAnte!$A$6:$A$55,A48)=1,IF(ISNUMBER(INDEX(ExAnte!$H$6:$H$55,MATCH(A48,ExAnte!$A$6:$A$55,0))),INDEX(ExAnte!$H$6:$H$55,MATCH(A48,ExAnte!$A$6:$A$55,0)),""),"")),ISNUMBER(IF(COUNTIF(ExPost!$A$6:$A$55,A48)=1,IF(ISNUMBER(INDEX(ExPost!$H$6:$H$55,MATCH(A48,ExPost!$A$6:$A$55,0))),INDEX(ExPost!$H$6:$H$55,MATCH(A48,ExPost!$A$6:$A$55,0)),""),""))),(IF(COUNTIF(ExPost!$A$6:$A$55,A48)=1,IF(ISNUMBER(INDEX(ExPost!$H$6:$H$55,MATCH(A48,ExPost!$A$6:$A$55,0))),INDEX(ExPost!$H$6:$H$55,MATCH(A48,ExPost!$A$6:$A$55,0)),""),""))-(IF(COUNTIF(ExAnte!$A$6:$A$55,A48)=1,IF(ISNUMBER(INDEX(ExAnte!$H$6:$H$55,MATCH(A48,ExAnte!$A$6:$A$55,0))),INDEX(ExAnte!$H$6:$H$55,MATCH(A48,ExAnte!$A$6:$A$55,0)),""),"")),"")</x:f>
      </x:c>
      <x:c r="J48" s="41" t="str">
        <x:f>IF(COUNT(F48:I48)=4,F48-(G48-H48-I48),"")</x:f>
      </x:c>
      <x:c r="K48" s="36"/>
      <x:c r="L48" s="41" t="str">
        <x:f>IF(A48="","",IF(AND(B48="YES",C48&lt;&gt;"",ISNUMBER(J48),ABS(J48)&lt;=Profile!$B$18),"ARITHMETIC MATCH","HOLD: BASIS / RECORD"))</x:f>
      </x:c>
    </x:row>
    <x:row r="49" ht="23" customHeight="1">
      <x:c r="A49" s="38"/>
      <x:c r="B49" s="36"/>
      <x:c r="C49" s="36"/>
      <x:c r="D49" s="41" t="str">
        <x:f>IF(COUNTIF(ExAnte!$A$6:$A$55,A49)=1,IF(ISNUMBER(INDEX(ExAnte!$I$6:$I$55,MATCH(A49,ExAnte!$A$6:$A$55,0))),INDEX(ExAnte!$I$6:$I$55,MATCH(A49,ExAnte!$A$6:$A$55,0)),""),"")</x:f>
      </x:c>
      <x:c r="E49" s="41" t="str">
        <x:f>IF(COUNTIF(ExPost!$A$6:$A$55,A49)=1,IF(ISNUMBER(INDEX(ExPost!$I$6:$I$55,MATCH(A49,ExPost!$A$6:$A$55,0))),INDEX(ExPost!$I$6:$I$55,MATCH(A49,ExPost!$A$6:$A$55,0)),""),"")</x:f>
      </x:c>
      <x:c r="F49" s="41" t="str">
        <x:f>IF(COUNT(D49:E49)=2,E49-D49,"")</x:f>
      </x:c>
      <x:c r="G49" s="41" t="str">
        <x:f>IF(AND(ISNUMBER(IF(COUNTIF(ExAnte!$A$6:$A$55,A49)=1,IF(ISNUMBER(INDEX(ExAnte!$F$6:$F$55,MATCH(A49,ExAnte!$A$6:$A$55,0))),INDEX(ExAnte!$F$6:$F$55,MATCH(A49,ExAnte!$A$6:$A$55,0)),""),"")),ISNUMBER(IF(COUNTIF(ExPost!$A$6:$A$55,A49)=1,IF(ISNUMBER(INDEX(ExPost!$F$6:$F$55,MATCH(A49,ExPost!$A$6:$A$55,0))),INDEX(ExPost!$F$6:$F$55,MATCH(A49,ExPost!$A$6:$A$55,0)),""),""))),(IF(COUNTIF(ExPost!$A$6:$A$55,A49)=1,IF(ISNUMBER(INDEX(ExPost!$F$6:$F$55,MATCH(A49,ExPost!$A$6:$A$55,0))),INDEX(ExPost!$F$6:$F$55,MATCH(A49,ExPost!$A$6:$A$55,0)),""),""))-(IF(COUNTIF(ExAnte!$A$6:$A$55,A49)=1,IF(ISNUMBER(INDEX(ExAnte!$F$6:$F$55,MATCH(A49,ExAnte!$A$6:$A$55,0))),INDEX(ExAnte!$F$6:$F$55,MATCH(A49,ExAnte!$A$6:$A$55,0)),""),"")),"")</x:f>
      </x:c>
      <x:c r="H49" s="41" t="str">
        <x:f>IF(AND(ISNUMBER(IF(COUNTIF(ExAnte!$A$6:$A$55,A49)=1,IF(ISNUMBER(INDEX(ExAnte!$G$6:$G$55,MATCH(A49,ExAnte!$A$6:$A$55,0))),INDEX(ExAnte!$G$6:$G$55,MATCH(A49,ExAnte!$A$6:$A$55,0)),""),"")),ISNUMBER(IF(COUNTIF(ExPost!$A$6:$A$55,A49)=1,IF(ISNUMBER(INDEX(ExPost!$G$6:$G$55,MATCH(A49,ExPost!$A$6:$A$55,0))),INDEX(ExPost!$G$6:$G$55,MATCH(A49,ExPost!$A$6:$A$55,0)),""),""))),(IF(COUNTIF(ExPost!$A$6:$A$55,A49)=1,IF(ISNUMBER(INDEX(ExPost!$G$6:$G$55,MATCH(A49,ExPost!$A$6:$A$55,0))),INDEX(ExPost!$G$6:$G$55,MATCH(A49,ExPost!$A$6:$A$55,0)),""),""))-(IF(COUNTIF(ExAnte!$A$6:$A$55,A49)=1,IF(ISNUMBER(INDEX(ExAnte!$G$6:$G$55,MATCH(A49,ExAnte!$A$6:$A$55,0))),INDEX(ExAnte!$G$6:$G$55,MATCH(A49,ExAnte!$A$6:$A$55,0)),""),"")),"")</x:f>
      </x:c>
      <x:c r="I49" s="41" t="str">
        <x:f>IF(AND(ISNUMBER(IF(COUNTIF(ExAnte!$A$6:$A$55,A49)=1,IF(ISNUMBER(INDEX(ExAnte!$H$6:$H$55,MATCH(A49,ExAnte!$A$6:$A$55,0))),INDEX(ExAnte!$H$6:$H$55,MATCH(A49,ExAnte!$A$6:$A$55,0)),""),"")),ISNUMBER(IF(COUNTIF(ExPost!$A$6:$A$55,A49)=1,IF(ISNUMBER(INDEX(ExPost!$H$6:$H$55,MATCH(A49,ExPost!$A$6:$A$55,0))),INDEX(ExPost!$H$6:$H$55,MATCH(A49,ExPost!$A$6:$A$55,0)),""),""))),(IF(COUNTIF(ExPost!$A$6:$A$55,A49)=1,IF(ISNUMBER(INDEX(ExPost!$H$6:$H$55,MATCH(A49,ExPost!$A$6:$A$55,0))),INDEX(ExPost!$H$6:$H$55,MATCH(A49,ExPost!$A$6:$A$55,0)),""),""))-(IF(COUNTIF(ExAnte!$A$6:$A$55,A49)=1,IF(ISNUMBER(INDEX(ExAnte!$H$6:$H$55,MATCH(A49,ExAnte!$A$6:$A$55,0))),INDEX(ExAnte!$H$6:$H$55,MATCH(A49,ExAnte!$A$6:$A$55,0)),""),"")),"")</x:f>
      </x:c>
      <x:c r="J49" s="41" t="str">
        <x:f>IF(COUNT(F49:I49)=4,F49-(G49-H49-I49),"")</x:f>
      </x:c>
      <x:c r="K49" s="36"/>
      <x:c r="L49" s="41" t="str">
        <x:f>IF(A49="","",IF(AND(B49="YES",C49&lt;&gt;"",ISNUMBER(J49),ABS(J49)&lt;=Profile!$B$18),"ARITHMETIC MATCH","HOLD: BASIS / RECORD"))</x:f>
      </x:c>
    </x:row>
    <x:row r="50" ht="23" customHeight="1">
      <x:c r="A50" s="38"/>
      <x:c r="B50" s="36"/>
      <x:c r="C50" s="36"/>
      <x:c r="D50" s="41" t="str">
        <x:f>IF(COUNTIF(ExAnte!$A$6:$A$55,A50)=1,IF(ISNUMBER(INDEX(ExAnte!$I$6:$I$55,MATCH(A50,ExAnte!$A$6:$A$55,0))),INDEX(ExAnte!$I$6:$I$55,MATCH(A50,ExAnte!$A$6:$A$55,0)),""),"")</x:f>
      </x:c>
      <x:c r="E50" s="41" t="str">
        <x:f>IF(COUNTIF(ExPost!$A$6:$A$55,A50)=1,IF(ISNUMBER(INDEX(ExPost!$I$6:$I$55,MATCH(A50,ExPost!$A$6:$A$55,0))),INDEX(ExPost!$I$6:$I$55,MATCH(A50,ExPost!$A$6:$A$55,0)),""),"")</x:f>
      </x:c>
      <x:c r="F50" s="41" t="str">
        <x:f>IF(COUNT(D50:E50)=2,E50-D50,"")</x:f>
      </x:c>
      <x:c r="G50" s="41" t="str">
        <x:f>IF(AND(ISNUMBER(IF(COUNTIF(ExAnte!$A$6:$A$55,A50)=1,IF(ISNUMBER(INDEX(ExAnte!$F$6:$F$55,MATCH(A50,ExAnte!$A$6:$A$55,0))),INDEX(ExAnte!$F$6:$F$55,MATCH(A50,ExAnte!$A$6:$A$55,0)),""),"")),ISNUMBER(IF(COUNTIF(ExPost!$A$6:$A$55,A50)=1,IF(ISNUMBER(INDEX(ExPost!$F$6:$F$55,MATCH(A50,ExPost!$A$6:$A$55,0))),INDEX(ExPost!$F$6:$F$55,MATCH(A50,ExPost!$A$6:$A$55,0)),""),""))),(IF(COUNTIF(ExPost!$A$6:$A$55,A50)=1,IF(ISNUMBER(INDEX(ExPost!$F$6:$F$55,MATCH(A50,ExPost!$A$6:$A$55,0))),INDEX(ExPost!$F$6:$F$55,MATCH(A50,ExPost!$A$6:$A$55,0)),""),""))-(IF(COUNTIF(ExAnte!$A$6:$A$55,A50)=1,IF(ISNUMBER(INDEX(ExAnte!$F$6:$F$55,MATCH(A50,ExAnte!$A$6:$A$55,0))),INDEX(ExAnte!$F$6:$F$55,MATCH(A50,ExAnte!$A$6:$A$55,0)),""),"")),"")</x:f>
      </x:c>
      <x:c r="H50" s="41" t="str">
        <x:f>IF(AND(ISNUMBER(IF(COUNTIF(ExAnte!$A$6:$A$55,A50)=1,IF(ISNUMBER(INDEX(ExAnte!$G$6:$G$55,MATCH(A50,ExAnte!$A$6:$A$55,0))),INDEX(ExAnte!$G$6:$G$55,MATCH(A50,ExAnte!$A$6:$A$55,0)),""),"")),ISNUMBER(IF(COUNTIF(ExPost!$A$6:$A$55,A50)=1,IF(ISNUMBER(INDEX(ExPost!$G$6:$G$55,MATCH(A50,ExPost!$A$6:$A$55,0))),INDEX(ExPost!$G$6:$G$55,MATCH(A50,ExPost!$A$6:$A$55,0)),""),""))),(IF(COUNTIF(ExPost!$A$6:$A$55,A50)=1,IF(ISNUMBER(INDEX(ExPost!$G$6:$G$55,MATCH(A50,ExPost!$A$6:$A$55,0))),INDEX(ExPost!$G$6:$G$55,MATCH(A50,ExPost!$A$6:$A$55,0)),""),""))-(IF(COUNTIF(ExAnte!$A$6:$A$55,A50)=1,IF(ISNUMBER(INDEX(ExAnte!$G$6:$G$55,MATCH(A50,ExAnte!$A$6:$A$55,0))),INDEX(ExAnte!$G$6:$G$55,MATCH(A50,ExAnte!$A$6:$A$55,0)),""),"")),"")</x:f>
      </x:c>
      <x:c r="I50" s="41" t="str">
        <x:f>IF(AND(ISNUMBER(IF(COUNTIF(ExAnte!$A$6:$A$55,A50)=1,IF(ISNUMBER(INDEX(ExAnte!$H$6:$H$55,MATCH(A50,ExAnte!$A$6:$A$55,0))),INDEX(ExAnte!$H$6:$H$55,MATCH(A50,ExAnte!$A$6:$A$55,0)),""),"")),ISNUMBER(IF(COUNTIF(ExPost!$A$6:$A$55,A50)=1,IF(ISNUMBER(INDEX(ExPost!$H$6:$H$55,MATCH(A50,ExPost!$A$6:$A$55,0))),INDEX(ExPost!$H$6:$H$55,MATCH(A50,ExPost!$A$6:$A$55,0)),""),""))),(IF(COUNTIF(ExPost!$A$6:$A$55,A50)=1,IF(ISNUMBER(INDEX(ExPost!$H$6:$H$55,MATCH(A50,ExPost!$A$6:$A$55,0))),INDEX(ExPost!$H$6:$H$55,MATCH(A50,ExPost!$A$6:$A$55,0)),""),""))-(IF(COUNTIF(ExAnte!$A$6:$A$55,A50)=1,IF(ISNUMBER(INDEX(ExAnte!$H$6:$H$55,MATCH(A50,ExAnte!$A$6:$A$55,0))),INDEX(ExAnte!$H$6:$H$55,MATCH(A50,ExAnte!$A$6:$A$55,0)),""),"")),"")</x:f>
      </x:c>
      <x:c r="J50" s="41" t="str">
        <x:f>IF(COUNT(F50:I50)=4,F50-(G50-H50-I50),"")</x:f>
      </x:c>
      <x:c r="K50" s="36"/>
      <x:c r="L50" s="41" t="str">
        <x:f>IF(A50="","",IF(AND(B50="YES",C50&lt;&gt;"",ISNUMBER(J50),ABS(J50)&lt;=Profile!$B$18),"ARITHMETIC MATCH","HOLD: BASIS / RECORD"))</x:f>
      </x:c>
    </x:row>
    <x:row r="51" ht="23" customHeight="1">
      <x:c r="A51" s="38"/>
      <x:c r="B51" s="36"/>
      <x:c r="C51" s="36"/>
      <x:c r="D51" s="41" t="str">
        <x:f>IF(COUNTIF(ExAnte!$A$6:$A$55,A51)=1,IF(ISNUMBER(INDEX(ExAnte!$I$6:$I$55,MATCH(A51,ExAnte!$A$6:$A$55,0))),INDEX(ExAnte!$I$6:$I$55,MATCH(A51,ExAnte!$A$6:$A$55,0)),""),"")</x:f>
      </x:c>
      <x:c r="E51" s="41" t="str">
        <x:f>IF(COUNTIF(ExPost!$A$6:$A$55,A51)=1,IF(ISNUMBER(INDEX(ExPost!$I$6:$I$55,MATCH(A51,ExPost!$A$6:$A$55,0))),INDEX(ExPost!$I$6:$I$55,MATCH(A51,ExPost!$A$6:$A$55,0)),""),"")</x:f>
      </x:c>
      <x:c r="F51" s="41" t="str">
        <x:f>IF(COUNT(D51:E51)=2,E51-D51,"")</x:f>
      </x:c>
      <x:c r="G51" s="41" t="str">
        <x:f>IF(AND(ISNUMBER(IF(COUNTIF(ExAnte!$A$6:$A$55,A51)=1,IF(ISNUMBER(INDEX(ExAnte!$F$6:$F$55,MATCH(A51,ExAnte!$A$6:$A$55,0))),INDEX(ExAnte!$F$6:$F$55,MATCH(A51,ExAnte!$A$6:$A$55,0)),""),"")),ISNUMBER(IF(COUNTIF(ExPost!$A$6:$A$55,A51)=1,IF(ISNUMBER(INDEX(ExPost!$F$6:$F$55,MATCH(A51,ExPost!$A$6:$A$55,0))),INDEX(ExPost!$F$6:$F$55,MATCH(A51,ExPost!$A$6:$A$55,0)),""),""))),(IF(COUNTIF(ExPost!$A$6:$A$55,A51)=1,IF(ISNUMBER(INDEX(ExPost!$F$6:$F$55,MATCH(A51,ExPost!$A$6:$A$55,0))),INDEX(ExPost!$F$6:$F$55,MATCH(A51,ExPost!$A$6:$A$55,0)),""),""))-(IF(COUNTIF(ExAnte!$A$6:$A$55,A51)=1,IF(ISNUMBER(INDEX(ExAnte!$F$6:$F$55,MATCH(A51,ExAnte!$A$6:$A$55,0))),INDEX(ExAnte!$F$6:$F$55,MATCH(A51,ExAnte!$A$6:$A$55,0)),""),"")),"")</x:f>
      </x:c>
      <x:c r="H51" s="41" t="str">
        <x:f>IF(AND(ISNUMBER(IF(COUNTIF(ExAnte!$A$6:$A$55,A51)=1,IF(ISNUMBER(INDEX(ExAnte!$G$6:$G$55,MATCH(A51,ExAnte!$A$6:$A$55,0))),INDEX(ExAnte!$G$6:$G$55,MATCH(A51,ExAnte!$A$6:$A$55,0)),""),"")),ISNUMBER(IF(COUNTIF(ExPost!$A$6:$A$55,A51)=1,IF(ISNUMBER(INDEX(ExPost!$G$6:$G$55,MATCH(A51,ExPost!$A$6:$A$55,0))),INDEX(ExPost!$G$6:$G$55,MATCH(A51,ExPost!$A$6:$A$55,0)),""),""))),(IF(COUNTIF(ExPost!$A$6:$A$55,A51)=1,IF(ISNUMBER(INDEX(ExPost!$G$6:$G$55,MATCH(A51,ExPost!$A$6:$A$55,0))),INDEX(ExPost!$G$6:$G$55,MATCH(A51,ExPost!$A$6:$A$55,0)),""),""))-(IF(COUNTIF(ExAnte!$A$6:$A$55,A51)=1,IF(ISNUMBER(INDEX(ExAnte!$G$6:$G$55,MATCH(A51,ExAnte!$A$6:$A$55,0))),INDEX(ExAnte!$G$6:$G$55,MATCH(A51,ExAnte!$A$6:$A$55,0)),""),"")),"")</x:f>
      </x:c>
      <x:c r="I51" s="41" t="str">
        <x:f>IF(AND(ISNUMBER(IF(COUNTIF(ExAnte!$A$6:$A$55,A51)=1,IF(ISNUMBER(INDEX(ExAnte!$H$6:$H$55,MATCH(A51,ExAnte!$A$6:$A$55,0))),INDEX(ExAnte!$H$6:$H$55,MATCH(A51,ExAnte!$A$6:$A$55,0)),""),"")),ISNUMBER(IF(COUNTIF(ExPost!$A$6:$A$55,A51)=1,IF(ISNUMBER(INDEX(ExPost!$H$6:$H$55,MATCH(A51,ExPost!$A$6:$A$55,0))),INDEX(ExPost!$H$6:$H$55,MATCH(A51,ExPost!$A$6:$A$55,0)),""),""))),(IF(COUNTIF(ExPost!$A$6:$A$55,A51)=1,IF(ISNUMBER(INDEX(ExPost!$H$6:$H$55,MATCH(A51,ExPost!$A$6:$A$55,0))),INDEX(ExPost!$H$6:$H$55,MATCH(A51,ExPost!$A$6:$A$55,0)),""),""))-(IF(COUNTIF(ExAnte!$A$6:$A$55,A51)=1,IF(ISNUMBER(INDEX(ExAnte!$H$6:$H$55,MATCH(A51,ExAnte!$A$6:$A$55,0))),INDEX(ExAnte!$H$6:$H$55,MATCH(A51,ExAnte!$A$6:$A$55,0)),""),"")),"")</x:f>
      </x:c>
      <x:c r="J51" s="41" t="str">
        <x:f>IF(COUNT(F51:I51)=4,F51-(G51-H51-I51),"")</x:f>
      </x:c>
      <x:c r="K51" s="36"/>
      <x:c r="L51" s="41" t="str">
        <x:f>IF(A51="","",IF(AND(B51="YES",C51&lt;&gt;"",ISNUMBER(J51),ABS(J51)&lt;=Profile!$B$18),"ARITHMETIC MATCH","HOLD: BASIS / RECORD"))</x:f>
      </x:c>
    </x:row>
    <x:row r="52" ht="23" customHeight="1">
      <x:c r="A52" s="38"/>
      <x:c r="B52" s="36"/>
      <x:c r="C52" s="36"/>
      <x:c r="D52" s="41" t="str">
        <x:f>IF(COUNTIF(ExAnte!$A$6:$A$55,A52)=1,IF(ISNUMBER(INDEX(ExAnte!$I$6:$I$55,MATCH(A52,ExAnte!$A$6:$A$55,0))),INDEX(ExAnte!$I$6:$I$55,MATCH(A52,ExAnte!$A$6:$A$55,0)),""),"")</x:f>
      </x:c>
      <x:c r="E52" s="41" t="str">
        <x:f>IF(COUNTIF(ExPost!$A$6:$A$55,A52)=1,IF(ISNUMBER(INDEX(ExPost!$I$6:$I$55,MATCH(A52,ExPost!$A$6:$A$55,0))),INDEX(ExPost!$I$6:$I$55,MATCH(A52,ExPost!$A$6:$A$55,0)),""),"")</x:f>
      </x:c>
      <x:c r="F52" s="41" t="str">
        <x:f>IF(COUNT(D52:E52)=2,E52-D52,"")</x:f>
      </x:c>
      <x:c r="G52" s="41" t="str">
        <x:f>IF(AND(ISNUMBER(IF(COUNTIF(ExAnte!$A$6:$A$55,A52)=1,IF(ISNUMBER(INDEX(ExAnte!$F$6:$F$55,MATCH(A52,ExAnte!$A$6:$A$55,0))),INDEX(ExAnte!$F$6:$F$55,MATCH(A52,ExAnte!$A$6:$A$55,0)),""),"")),ISNUMBER(IF(COUNTIF(ExPost!$A$6:$A$55,A52)=1,IF(ISNUMBER(INDEX(ExPost!$F$6:$F$55,MATCH(A52,ExPost!$A$6:$A$55,0))),INDEX(ExPost!$F$6:$F$55,MATCH(A52,ExPost!$A$6:$A$55,0)),""),""))),(IF(COUNTIF(ExPost!$A$6:$A$55,A52)=1,IF(ISNUMBER(INDEX(ExPost!$F$6:$F$55,MATCH(A52,ExPost!$A$6:$A$55,0))),INDEX(ExPost!$F$6:$F$55,MATCH(A52,ExPost!$A$6:$A$55,0)),""),""))-(IF(COUNTIF(ExAnte!$A$6:$A$55,A52)=1,IF(ISNUMBER(INDEX(ExAnte!$F$6:$F$55,MATCH(A52,ExAnte!$A$6:$A$55,0))),INDEX(ExAnte!$F$6:$F$55,MATCH(A52,ExAnte!$A$6:$A$55,0)),""),"")),"")</x:f>
      </x:c>
      <x:c r="H52" s="41" t="str">
        <x:f>IF(AND(ISNUMBER(IF(COUNTIF(ExAnte!$A$6:$A$55,A52)=1,IF(ISNUMBER(INDEX(ExAnte!$G$6:$G$55,MATCH(A52,ExAnte!$A$6:$A$55,0))),INDEX(ExAnte!$G$6:$G$55,MATCH(A52,ExAnte!$A$6:$A$55,0)),""),"")),ISNUMBER(IF(COUNTIF(ExPost!$A$6:$A$55,A52)=1,IF(ISNUMBER(INDEX(ExPost!$G$6:$G$55,MATCH(A52,ExPost!$A$6:$A$55,0))),INDEX(ExPost!$G$6:$G$55,MATCH(A52,ExPost!$A$6:$A$55,0)),""),""))),(IF(COUNTIF(ExPost!$A$6:$A$55,A52)=1,IF(ISNUMBER(INDEX(ExPost!$G$6:$G$55,MATCH(A52,ExPost!$A$6:$A$55,0))),INDEX(ExPost!$G$6:$G$55,MATCH(A52,ExPost!$A$6:$A$55,0)),""),""))-(IF(COUNTIF(ExAnte!$A$6:$A$55,A52)=1,IF(ISNUMBER(INDEX(ExAnte!$G$6:$G$55,MATCH(A52,ExAnte!$A$6:$A$55,0))),INDEX(ExAnte!$G$6:$G$55,MATCH(A52,ExAnte!$A$6:$A$55,0)),""),"")),"")</x:f>
      </x:c>
      <x:c r="I52" s="41" t="str">
        <x:f>IF(AND(ISNUMBER(IF(COUNTIF(ExAnte!$A$6:$A$55,A52)=1,IF(ISNUMBER(INDEX(ExAnte!$H$6:$H$55,MATCH(A52,ExAnte!$A$6:$A$55,0))),INDEX(ExAnte!$H$6:$H$55,MATCH(A52,ExAnte!$A$6:$A$55,0)),""),"")),ISNUMBER(IF(COUNTIF(ExPost!$A$6:$A$55,A52)=1,IF(ISNUMBER(INDEX(ExPost!$H$6:$H$55,MATCH(A52,ExPost!$A$6:$A$55,0))),INDEX(ExPost!$H$6:$H$55,MATCH(A52,ExPost!$A$6:$A$55,0)),""),""))),(IF(COUNTIF(ExPost!$A$6:$A$55,A52)=1,IF(ISNUMBER(INDEX(ExPost!$H$6:$H$55,MATCH(A52,ExPost!$A$6:$A$55,0))),INDEX(ExPost!$H$6:$H$55,MATCH(A52,ExPost!$A$6:$A$55,0)),""),""))-(IF(COUNTIF(ExAnte!$A$6:$A$55,A52)=1,IF(ISNUMBER(INDEX(ExAnte!$H$6:$H$55,MATCH(A52,ExAnte!$A$6:$A$55,0))),INDEX(ExAnte!$H$6:$H$55,MATCH(A52,ExAnte!$A$6:$A$55,0)),""),"")),"")</x:f>
      </x:c>
      <x:c r="J52" s="41" t="str">
        <x:f>IF(COUNT(F52:I52)=4,F52-(G52-H52-I52),"")</x:f>
      </x:c>
      <x:c r="K52" s="36"/>
      <x:c r="L52" s="41" t="str">
        <x:f>IF(A52="","",IF(AND(B52="YES",C52&lt;&gt;"",ISNUMBER(J52),ABS(J52)&lt;=Profile!$B$18),"ARITHMETIC MATCH","HOLD: BASIS / RECORD"))</x:f>
      </x:c>
    </x:row>
    <x:row r="53" ht="23" customHeight="1">
      <x:c r="A53" s="38"/>
      <x:c r="B53" s="36"/>
      <x:c r="C53" s="36"/>
      <x:c r="D53" s="41" t="str">
        <x:f>IF(COUNTIF(ExAnte!$A$6:$A$55,A53)=1,IF(ISNUMBER(INDEX(ExAnte!$I$6:$I$55,MATCH(A53,ExAnte!$A$6:$A$55,0))),INDEX(ExAnte!$I$6:$I$55,MATCH(A53,ExAnte!$A$6:$A$55,0)),""),"")</x:f>
      </x:c>
      <x:c r="E53" s="41" t="str">
        <x:f>IF(COUNTIF(ExPost!$A$6:$A$55,A53)=1,IF(ISNUMBER(INDEX(ExPost!$I$6:$I$55,MATCH(A53,ExPost!$A$6:$A$55,0))),INDEX(ExPost!$I$6:$I$55,MATCH(A53,ExPost!$A$6:$A$55,0)),""),"")</x:f>
      </x:c>
      <x:c r="F53" s="41" t="str">
        <x:f>IF(COUNT(D53:E53)=2,E53-D53,"")</x:f>
      </x:c>
      <x:c r="G53" s="41" t="str">
        <x:f>IF(AND(ISNUMBER(IF(COUNTIF(ExAnte!$A$6:$A$55,A53)=1,IF(ISNUMBER(INDEX(ExAnte!$F$6:$F$55,MATCH(A53,ExAnte!$A$6:$A$55,0))),INDEX(ExAnte!$F$6:$F$55,MATCH(A53,ExAnte!$A$6:$A$55,0)),""),"")),ISNUMBER(IF(COUNTIF(ExPost!$A$6:$A$55,A53)=1,IF(ISNUMBER(INDEX(ExPost!$F$6:$F$55,MATCH(A53,ExPost!$A$6:$A$55,0))),INDEX(ExPost!$F$6:$F$55,MATCH(A53,ExPost!$A$6:$A$55,0)),""),""))),(IF(COUNTIF(ExPost!$A$6:$A$55,A53)=1,IF(ISNUMBER(INDEX(ExPost!$F$6:$F$55,MATCH(A53,ExPost!$A$6:$A$55,0))),INDEX(ExPost!$F$6:$F$55,MATCH(A53,ExPost!$A$6:$A$55,0)),""),""))-(IF(COUNTIF(ExAnte!$A$6:$A$55,A53)=1,IF(ISNUMBER(INDEX(ExAnte!$F$6:$F$55,MATCH(A53,ExAnte!$A$6:$A$55,0))),INDEX(ExAnte!$F$6:$F$55,MATCH(A53,ExAnte!$A$6:$A$55,0)),""),"")),"")</x:f>
      </x:c>
      <x:c r="H53" s="41" t="str">
        <x:f>IF(AND(ISNUMBER(IF(COUNTIF(ExAnte!$A$6:$A$55,A53)=1,IF(ISNUMBER(INDEX(ExAnte!$G$6:$G$55,MATCH(A53,ExAnte!$A$6:$A$55,0))),INDEX(ExAnte!$G$6:$G$55,MATCH(A53,ExAnte!$A$6:$A$55,0)),""),"")),ISNUMBER(IF(COUNTIF(ExPost!$A$6:$A$55,A53)=1,IF(ISNUMBER(INDEX(ExPost!$G$6:$G$55,MATCH(A53,ExPost!$A$6:$A$55,0))),INDEX(ExPost!$G$6:$G$55,MATCH(A53,ExPost!$A$6:$A$55,0)),""),""))),(IF(COUNTIF(ExPost!$A$6:$A$55,A53)=1,IF(ISNUMBER(INDEX(ExPost!$G$6:$G$55,MATCH(A53,ExPost!$A$6:$A$55,0))),INDEX(ExPost!$G$6:$G$55,MATCH(A53,ExPost!$A$6:$A$55,0)),""),""))-(IF(COUNTIF(ExAnte!$A$6:$A$55,A53)=1,IF(ISNUMBER(INDEX(ExAnte!$G$6:$G$55,MATCH(A53,ExAnte!$A$6:$A$55,0))),INDEX(ExAnte!$G$6:$G$55,MATCH(A53,ExAnte!$A$6:$A$55,0)),""),"")),"")</x:f>
      </x:c>
      <x:c r="I53" s="41" t="str">
        <x:f>IF(AND(ISNUMBER(IF(COUNTIF(ExAnte!$A$6:$A$55,A53)=1,IF(ISNUMBER(INDEX(ExAnte!$H$6:$H$55,MATCH(A53,ExAnte!$A$6:$A$55,0))),INDEX(ExAnte!$H$6:$H$55,MATCH(A53,ExAnte!$A$6:$A$55,0)),""),"")),ISNUMBER(IF(COUNTIF(ExPost!$A$6:$A$55,A53)=1,IF(ISNUMBER(INDEX(ExPost!$H$6:$H$55,MATCH(A53,ExPost!$A$6:$A$55,0))),INDEX(ExPost!$H$6:$H$55,MATCH(A53,ExPost!$A$6:$A$55,0)),""),""))),(IF(COUNTIF(ExPost!$A$6:$A$55,A53)=1,IF(ISNUMBER(INDEX(ExPost!$H$6:$H$55,MATCH(A53,ExPost!$A$6:$A$55,0))),INDEX(ExPost!$H$6:$H$55,MATCH(A53,ExPost!$A$6:$A$55,0)),""),""))-(IF(COUNTIF(ExAnte!$A$6:$A$55,A53)=1,IF(ISNUMBER(INDEX(ExAnte!$H$6:$H$55,MATCH(A53,ExAnte!$A$6:$A$55,0))),INDEX(ExAnte!$H$6:$H$55,MATCH(A53,ExAnte!$A$6:$A$55,0)),""),"")),"")</x:f>
      </x:c>
      <x:c r="J53" s="41" t="str">
        <x:f>IF(COUNT(F53:I53)=4,F53-(G53-H53-I53),"")</x:f>
      </x:c>
      <x:c r="K53" s="36"/>
      <x:c r="L53" s="41" t="str">
        <x:f>IF(A53="","",IF(AND(B53="YES",C53&lt;&gt;"",ISNUMBER(J53),ABS(J53)&lt;=Profile!$B$18),"ARITHMETIC MATCH","HOLD: BASIS / RECORD"))</x:f>
      </x:c>
    </x:row>
    <x:row r="54" ht="23" customHeight="1">
      <x:c r="A54" s="38"/>
      <x:c r="B54" s="36"/>
      <x:c r="C54" s="36"/>
      <x:c r="D54" s="41" t="str">
        <x:f>IF(COUNTIF(ExAnte!$A$6:$A$55,A54)=1,IF(ISNUMBER(INDEX(ExAnte!$I$6:$I$55,MATCH(A54,ExAnte!$A$6:$A$55,0))),INDEX(ExAnte!$I$6:$I$55,MATCH(A54,ExAnte!$A$6:$A$55,0)),""),"")</x:f>
      </x:c>
      <x:c r="E54" s="41" t="str">
        <x:f>IF(COUNTIF(ExPost!$A$6:$A$55,A54)=1,IF(ISNUMBER(INDEX(ExPost!$I$6:$I$55,MATCH(A54,ExPost!$A$6:$A$55,0))),INDEX(ExPost!$I$6:$I$55,MATCH(A54,ExPost!$A$6:$A$55,0)),""),"")</x:f>
      </x:c>
      <x:c r="F54" s="41" t="str">
        <x:f>IF(COUNT(D54:E54)=2,E54-D54,"")</x:f>
      </x:c>
      <x:c r="G54" s="41" t="str">
        <x:f>IF(AND(ISNUMBER(IF(COUNTIF(ExAnte!$A$6:$A$55,A54)=1,IF(ISNUMBER(INDEX(ExAnte!$F$6:$F$55,MATCH(A54,ExAnte!$A$6:$A$55,0))),INDEX(ExAnte!$F$6:$F$55,MATCH(A54,ExAnte!$A$6:$A$55,0)),""),"")),ISNUMBER(IF(COUNTIF(ExPost!$A$6:$A$55,A54)=1,IF(ISNUMBER(INDEX(ExPost!$F$6:$F$55,MATCH(A54,ExPost!$A$6:$A$55,0))),INDEX(ExPost!$F$6:$F$55,MATCH(A54,ExPost!$A$6:$A$55,0)),""),""))),(IF(COUNTIF(ExPost!$A$6:$A$55,A54)=1,IF(ISNUMBER(INDEX(ExPost!$F$6:$F$55,MATCH(A54,ExPost!$A$6:$A$55,0))),INDEX(ExPost!$F$6:$F$55,MATCH(A54,ExPost!$A$6:$A$55,0)),""),""))-(IF(COUNTIF(ExAnte!$A$6:$A$55,A54)=1,IF(ISNUMBER(INDEX(ExAnte!$F$6:$F$55,MATCH(A54,ExAnte!$A$6:$A$55,0))),INDEX(ExAnte!$F$6:$F$55,MATCH(A54,ExAnte!$A$6:$A$55,0)),""),"")),"")</x:f>
      </x:c>
      <x:c r="H54" s="41" t="str">
        <x:f>IF(AND(ISNUMBER(IF(COUNTIF(ExAnte!$A$6:$A$55,A54)=1,IF(ISNUMBER(INDEX(ExAnte!$G$6:$G$55,MATCH(A54,ExAnte!$A$6:$A$55,0))),INDEX(ExAnte!$G$6:$G$55,MATCH(A54,ExAnte!$A$6:$A$55,0)),""),"")),ISNUMBER(IF(COUNTIF(ExPost!$A$6:$A$55,A54)=1,IF(ISNUMBER(INDEX(ExPost!$G$6:$G$55,MATCH(A54,ExPost!$A$6:$A$55,0))),INDEX(ExPost!$G$6:$G$55,MATCH(A54,ExPost!$A$6:$A$55,0)),""),""))),(IF(COUNTIF(ExPost!$A$6:$A$55,A54)=1,IF(ISNUMBER(INDEX(ExPost!$G$6:$G$55,MATCH(A54,ExPost!$A$6:$A$55,0))),INDEX(ExPost!$G$6:$G$55,MATCH(A54,ExPost!$A$6:$A$55,0)),""),""))-(IF(COUNTIF(ExAnte!$A$6:$A$55,A54)=1,IF(ISNUMBER(INDEX(ExAnte!$G$6:$G$55,MATCH(A54,ExAnte!$A$6:$A$55,0))),INDEX(ExAnte!$G$6:$G$55,MATCH(A54,ExAnte!$A$6:$A$55,0)),""),"")),"")</x:f>
      </x:c>
      <x:c r="I54" s="41" t="str">
        <x:f>IF(AND(ISNUMBER(IF(COUNTIF(ExAnte!$A$6:$A$55,A54)=1,IF(ISNUMBER(INDEX(ExAnte!$H$6:$H$55,MATCH(A54,ExAnte!$A$6:$A$55,0))),INDEX(ExAnte!$H$6:$H$55,MATCH(A54,ExAnte!$A$6:$A$55,0)),""),"")),ISNUMBER(IF(COUNTIF(ExPost!$A$6:$A$55,A54)=1,IF(ISNUMBER(INDEX(ExPost!$H$6:$H$55,MATCH(A54,ExPost!$A$6:$A$55,0))),INDEX(ExPost!$H$6:$H$55,MATCH(A54,ExPost!$A$6:$A$55,0)),""),""))),(IF(COUNTIF(ExPost!$A$6:$A$55,A54)=1,IF(ISNUMBER(INDEX(ExPost!$H$6:$H$55,MATCH(A54,ExPost!$A$6:$A$55,0))),INDEX(ExPost!$H$6:$H$55,MATCH(A54,ExPost!$A$6:$A$55,0)),""),""))-(IF(COUNTIF(ExAnte!$A$6:$A$55,A54)=1,IF(ISNUMBER(INDEX(ExAnte!$H$6:$H$55,MATCH(A54,ExAnte!$A$6:$A$55,0))),INDEX(ExAnte!$H$6:$H$55,MATCH(A54,ExAnte!$A$6:$A$55,0)),""),"")),"")</x:f>
      </x:c>
      <x:c r="J54" s="41" t="str">
        <x:f>IF(COUNT(F54:I54)=4,F54-(G54-H54-I54),"")</x:f>
      </x:c>
      <x:c r="K54" s="36"/>
      <x:c r="L54" s="41" t="str">
        <x:f>IF(A54="","",IF(AND(B54="YES",C54&lt;&gt;"",ISNUMBER(J54),ABS(J54)&lt;=Profile!$B$18),"ARITHMETIC MATCH","HOLD: BASIS / RECORD"))</x:f>
      </x:c>
    </x:row>
    <x:row r="55" ht="23" customHeight="1">
      <x:c r="A55" s="38"/>
      <x:c r="B55" s="36"/>
      <x:c r="C55" s="36"/>
      <x:c r="D55" s="41" t="str">
        <x:f>IF(COUNTIF(ExAnte!$A$6:$A$55,A55)=1,IF(ISNUMBER(INDEX(ExAnte!$I$6:$I$55,MATCH(A55,ExAnte!$A$6:$A$55,0))),INDEX(ExAnte!$I$6:$I$55,MATCH(A55,ExAnte!$A$6:$A$55,0)),""),"")</x:f>
      </x:c>
      <x:c r="E55" s="41" t="str">
        <x:f>IF(COUNTIF(ExPost!$A$6:$A$55,A55)=1,IF(ISNUMBER(INDEX(ExPost!$I$6:$I$55,MATCH(A55,ExPost!$A$6:$A$55,0))),INDEX(ExPost!$I$6:$I$55,MATCH(A55,ExPost!$A$6:$A$55,0)),""),"")</x:f>
      </x:c>
      <x:c r="F55" s="41" t="str">
        <x:f>IF(COUNT(D55:E55)=2,E55-D55,"")</x:f>
      </x:c>
      <x:c r="G55" s="41" t="str">
        <x:f>IF(AND(ISNUMBER(IF(COUNTIF(ExAnte!$A$6:$A$55,A55)=1,IF(ISNUMBER(INDEX(ExAnte!$F$6:$F$55,MATCH(A55,ExAnte!$A$6:$A$55,0))),INDEX(ExAnte!$F$6:$F$55,MATCH(A55,ExAnte!$A$6:$A$55,0)),""),"")),ISNUMBER(IF(COUNTIF(ExPost!$A$6:$A$55,A55)=1,IF(ISNUMBER(INDEX(ExPost!$F$6:$F$55,MATCH(A55,ExPost!$A$6:$A$55,0))),INDEX(ExPost!$F$6:$F$55,MATCH(A55,ExPost!$A$6:$A$55,0)),""),""))),(IF(COUNTIF(ExPost!$A$6:$A$55,A55)=1,IF(ISNUMBER(INDEX(ExPost!$F$6:$F$55,MATCH(A55,ExPost!$A$6:$A$55,0))),INDEX(ExPost!$F$6:$F$55,MATCH(A55,ExPost!$A$6:$A$55,0)),""),""))-(IF(COUNTIF(ExAnte!$A$6:$A$55,A55)=1,IF(ISNUMBER(INDEX(ExAnte!$F$6:$F$55,MATCH(A55,ExAnte!$A$6:$A$55,0))),INDEX(ExAnte!$F$6:$F$55,MATCH(A55,ExAnte!$A$6:$A$55,0)),""),"")),"")</x:f>
      </x:c>
      <x:c r="H55" s="41" t="str">
        <x:f>IF(AND(ISNUMBER(IF(COUNTIF(ExAnte!$A$6:$A$55,A55)=1,IF(ISNUMBER(INDEX(ExAnte!$G$6:$G$55,MATCH(A55,ExAnte!$A$6:$A$55,0))),INDEX(ExAnte!$G$6:$G$55,MATCH(A55,ExAnte!$A$6:$A$55,0)),""),"")),ISNUMBER(IF(COUNTIF(ExPost!$A$6:$A$55,A55)=1,IF(ISNUMBER(INDEX(ExPost!$G$6:$G$55,MATCH(A55,ExPost!$A$6:$A$55,0))),INDEX(ExPost!$G$6:$G$55,MATCH(A55,ExPost!$A$6:$A$55,0)),""),""))),(IF(COUNTIF(ExPost!$A$6:$A$55,A55)=1,IF(ISNUMBER(INDEX(ExPost!$G$6:$G$55,MATCH(A55,ExPost!$A$6:$A$55,0))),INDEX(ExPost!$G$6:$G$55,MATCH(A55,ExPost!$A$6:$A$55,0)),""),""))-(IF(COUNTIF(ExAnte!$A$6:$A$55,A55)=1,IF(ISNUMBER(INDEX(ExAnte!$G$6:$G$55,MATCH(A55,ExAnte!$A$6:$A$55,0))),INDEX(ExAnte!$G$6:$G$55,MATCH(A55,ExAnte!$A$6:$A$55,0)),""),"")),"")</x:f>
      </x:c>
      <x:c r="I55" s="41" t="str">
        <x:f>IF(AND(ISNUMBER(IF(COUNTIF(ExAnte!$A$6:$A$55,A55)=1,IF(ISNUMBER(INDEX(ExAnte!$H$6:$H$55,MATCH(A55,ExAnte!$A$6:$A$55,0))),INDEX(ExAnte!$H$6:$H$55,MATCH(A55,ExAnte!$A$6:$A$55,0)),""),"")),ISNUMBER(IF(COUNTIF(ExPost!$A$6:$A$55,A55)=1,IF(ISNUMBER(INDEX(ExPost!$H$6:$H$55,MATCH(A55,ExPost!$A$6:$A$55,0))),INDEX(ExPost!$H$6:$H$55,MATCH(A55,ExPost!$A$6:$A$55,0)),""),""))),(IF(COUNTIF(ExPost!$A$6:$A$55,A55)=1,IF(ISNUMBER(INDEX(ExPost!$H$6:$H$55,MATCH(A55,ExPost!$A$6:$A$55,0))),INDEX(ExPost!$H$6:$H$55,MATCH(A55,ExPost!$A$6:$A$55,0)),""),""))-(IF(COUNTIF(ExAnte!$A$6:$A$55,A55)=1,IF(ISNUMBER(INDEX(ExAnte!$H$6:$H$55,MATCH(A55,ExAnte!$A$6:$A$55,0))),INDEX(ExAnte!$H$6:$H$55,MATCH(A55,ExAnte!$A$6:$A$55,0)),""),"")),"")</x:f>
      </x:c>
      <x:c r="J55" s="41" t="str">
        <x:f>IF(COUNT(F55:I55)=4,F55-(G55-H55-I55),"")</x:f>
      </x:c>
      <x:c r="K55" s="36"/>
      <x:c r="L55" s="41" t="str">
        <x:f>IF(A55="","",IF(AND(B55="YES",C55&lt;&gt;"",ISNUMBER(J55),ABS(J55)&lt;=Profile!$B$18),"ARITHMETIC MATCH","HOLD: BASIS / RECORD"))</x:f>
      </x:c>
    </x:row>
  </x:sheetData>
  <x:mergeCells>
    <x:mergeCell ref="A1:L2"/>
    <x:mergeCell ref="A3:L4"/>
  </x:mergeCells>
  <x:conditionalFormatting sqref="L6:L55">
    <x:cfRule type="expression" dxfId="8" priority="1">
      <x:formula>LEFT(L6,4)="HOLD"</x:formula>
    </x:cfRule>
  </x:conditionalFormatting>
  <x:dataValidations count="1">
    <x:dataValidation type="list" sqref="B6:B55">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Migration quantity bridge</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Keep original values; explain harmonization separately from a method change. Use only comparable quantities. Other external carbon units are not NVEUs and are not mass without an evidenced denomination. No replacement issuance follows from this bridge.</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Bridge line</x:v>
      </x:c>
      <x:c r="B5" s="29" t="str">
        <x:v>Period / scope</x:v>
      </x:c>
      <x:c r="C5" s="29" t="str">
        <x:v>Common unit</x:v>
      </x:c>
      <x:c r="D5" s="29" t="str">
        <x:v>Support and equation evidence</x:v>
      </x:c>
      <x:c r="E5" s="29" t="str">
        <x:v>Original record
q_src
[matched unit]</x:v>
      </x:c>
      <x:c r="F5" s="29" t="str">
        <x:v>Old method harmonized
q_harm
[matched unit]</x:v>
      </x:c>
      <x:c r="G5" s="29" t="str">
        <x:v>NEBIOT matched account
q_NEB
[matched unit]</x:v>
      </x:c>
      <x:c r="H5" s="29" t="str">
        <x:v>Basis adjustment
Deltaq_basis
[matched unit]</x:v>
      </x:c>
      <x:c r="I5" s="29" t="str">
        <x:v>Method difference
Deltaq_method
[matched unit]</x:v>
      </x:c>
      <x:c r="J5" s="29" t="str">
        <x:v>Total difference
Deltaq_total
[matched unit]</x:v>
      </x:c>
      <x:c r="K5" s="29" t="str">
        <x:v>Bridge residual
r_bridge
[matched unit]</x:v>
      </x:c>
      <x:c r="L5" s="29" t="str">
        <x:v>Decision / restrictions</x:v>
      </x:c>
      <x:c r="M5"/>
      <x:c r="N5"/>
      <x:c r="O5"/>
      <x:c r="P5"/>
    </x:row>
    <x:row r="6" ht="23" customHeight="1">
      <x:c r="A6" s="38"/>
      <x:c r="B6" s="36"/>
      <x:c r="C6" s="36"/>
      <x:c r="D6" s="36"/>
      <x:c r="E6" s="36"/>
      <x:c r="F6" s="36"/>
      <x:c r="G6" s="36"/>
      <x:c r="H6" s="41" t="str">
        <x:f>IF(COUNT(E6:G6)=3,F6-E6,"")</x:f>
      </x:c>
      <x:c r="I6" s="41" t="str">
        <x:f>IF(COUNT(E6:G6)=3,G6-F6,"")</x:f>
      </x:c>
      <x:c r="J6" s="41" t="str">
        <x:f>IF(COUNT(E6:G6)=3,G6-E6,"")</x:f>
      </x:c>
      <x:c r="K6" s="41" t="str">
        <x:f>IF(COUNT(E6:G6)=3,J6-H6-I6,"")</x:f>
      </x:c>
      <x:c r="L6" s="36"/>
    </x:row>
    <x:row r="7" ht="23" customHeight="1">
      <x:c r="A7" s="38"/>
      <x:c r="B7" s="36"/>
      <x:c r="C7" s="36"/>
      <x:c r="D7" s="36"/>
      <x:c r="E7" s="36"/>
      <x:c r="F7" s="36"/>
      <x:c r="G7" s="36"/>
      <x:c r="H7" s="41" t="str">
        <x:f>IF(COUNT(E7:G7)=3,F7-E7,"")</x:f>
      </x:c>
      <x:c r="I7" s="41" t="str">
        <x:f>IF(COUNT(E7:G7)=3,G7-F7,"")</x:f>
      </x:c>
      <x:c r="J7" s="41" t="str">
        <x:f>IF(COUNT(E7:G7)=3,G7-E7,"")</x:f>
      </x:c>
      <x:c r="K7" s="41" t="str">
        <x:f>IF(COUNT(E7:G7)=3,J7-H7-I7,"")</x:f>
      </x:c>
      <x:c r="L7" s="36"/>
    </x:row>
    <x:row r="8" ht="23" customHeight="1">
      <x:c r="A8" s="38"/>
      <x:c r="B8" s="36"/>
      <x:c r="C8" s="36"/>
      <x:c r="D8" s="36"/>
      <x:c r="E8" s="36"/>
      <x:c r="F8" s="36"/>
      <x:c r="G8" s="36"/>
      <x:c r="H8" s="41" t="str">
        <x:f>IF(COUNT(E8:G8)=3,F8-E8,"")</x:f>
      </x:c>
      <x:c r="I8" s="41" t="str">
        <x:f>IF(COUNT(E8:G8)=3,G8-F8,"")</x:f>
      </x:c>
      <x:c r="J8" s="41" t="str">
        <x:f>IF(COUNT(E8:G8)=3,G8-E8,"")</x:f>
      </x:c>
      <x:c r="K8" s="41" t="str">
        <x:f>IF(COUNT(E8:G8)=3,J8-H8-I8,"")</x:f>
      </x:c>
      <x:c r="L8" s="36"/>
    </x:row>
    <x:row r="9" ht="23" customHeight="1">
      <x:c r="A9" s="38"/>
      <x:c r="B9" s="36"/>
      <x:c r="C9" s="36"/>
      <x:c r="D9" s="36"/>
      <x:c r="E9" s="36"/>
      <x:c r="F9" s="36"/>
      <x:c r="G9" s="36"/>
      <x:c r="H9" s="41" t="str">
        <x:f>IF(COUNT(E9:G9)=3,F9-E9,"")</x:f>
      </x:c>
      <x:c r="I9" s="41" t="str">
        <x:f>IF(COUNT(E9:G9)=3,G9-F9,"")</x:f>
      </x:c>
      <x:c r="J9" s="41" t="str">
        <x:f>IF(COUNT(E9:G9)=3,G9-E9,"")</x:f>
      </x:c>
      <x:c r="K9" s="41" t="str">
        <x:f>IF(COUNT(E9:G9)=3,J9-H9-I9,"")</x:f>
      </x:c>
      <x:c r="L9" s="36"/>
    </x:row>
    <x:row r="10" ht="23" customHeight="1">
      <x:c r="A10" s="38"/>
      <x:c r="B10" s="36"/>
      <x:c r="C10" s="36"/>
      <x:c r="D10" s="36"/>
      <x:c r="E10" s="36"/>
      <x:c r="F10" s="36"/>
      <x:c r="G10" s="36"/>
      <x:c r="H10" s="41" t="str">
        <x:f>IF(COUNT(E10:G10)=3,F10-E10,"")</x:f>
      </x:c>
      <x:c r="I10" s="41" t="str">
        <x:f>IF(COUNT(E10:G10)=3,G10-F10,"")</x:f>
      </x:c>
      <x:c r="J10" s="41" t="str">
        <x:f>IF(COUNT(E10:G10)=3,G10-E10,"")</x:f>
      </x:c>
      <x:c r="K10" s="41" t="str">
        <x:f>IF(COUNT(E10:G10)=3,J10-H10-I10,"")</x:f>
      </x:c>
      <x:c r="L10" s="36"/>
    </x:row>
    <x:row r="11" ht="23" customHeight="1">
      <x:c r="A11" s="38"/>
      <x:c r="B11" s="36"/>
      <x:c r="C11" s="36"/>
      <x:c r="D11" s="36"/>
      <x:c r="E11" s="36"/>
      <x:c r="F11" s="36"/>
      <x:c r="G11" s="36"/>
      <x:c r="H11" s="41" t="str">
        <x:f>IF(COUNT(E11:G11)=3,F11-E11,"")</x:f>
      </x:c>
      <x:c r="I11" s="41" t="str">
        <x:f>IF(COUNT(E11:G11)=3,G11-F11,"")</x:f>
      </x:c>
      <x:c r="J11" s="41" t="str">
        <x:f>IF(COUNT(E11:G11)=3,G11-E11,"")</x:f>
      </x:c>
      <x:c r="K11" s="41" t="str">
        <x:f>IF(COUNT(E11:G11)=3,J11-H11-I11,"")</x:f>
      </x:c>
      <x:c r="L11" s="36"/>
    </x:row>
    <x:row r="12" ht="23" customHeight="1">
      <x:c r="A12" s="38"/>
      <x:c r="B12" s="36"/>
      <x:c r="C12" s="36"/>
      <x:c r="D12" s="36"/>
      <x:c r="E12" s="36"/>
      <x:c r="F12" s="36"/>
      <x:c r="G12" s="36"/>
      <x:c r="H12" s="41" t="str">
        <x:f>IF(COUNT(E12:G12)=3,F12-E12,"")</x:f>
      </x:c>
      <x:c r="I12" s="41" t="str">
        <x:f>IF(COUNT(E12:G12)=3,G12-F12,"")</x:f>
      </x:c>
      <x:c r="J12" s="41" t="str">
        <x:f>IF(COUNT(E12:G12)=3,G12-E12,"")</x:f>
      </x:c>
      <x:c r="K12" s="41" t="str">
        <x:f>IF(COUNT(E12:G12)=3,J12-H12-I12,"")</x:f>
      </x:c>
      <x:c r="L12" s="36"/>
    </x:row>
    <x:row r="13" ht="23" customHeight="1">
      <x:c r="A13" s="38"/>
      <x:c r="B13" s="36"/>
      <x:c r="C13" s="36"/>
      <x:c r="D13" s="36"/>
      <x:c r="E13" s="36"/>
      <x:c r="F13" s="36"/>
      <x:c r="G13" s="36"/>
      <x:c r="H13" s="41" t="str">
        <x:f>IF(COUNT(E13:G13)=3,F13-E13,"")</x:f>
      </x:c>
      <x:c r="I13" s="41" t="str">
        <x:f>IF(COUNT(E13:G13)=3,G13-F13,"")</x:f>
      </x:c>
      <x:c r="J13" s="41" t="str">
        <x:f>IF(COUNT(E13:G13)=3,G13-E13,"")</x:f>
      </x:c>
      <x:c r="K13" s="41" t="str">
        <x:f>IF(COUNT(E13:G13)=3,J13-H13-I13,"")</x:f>
      </x:c>
      <x:c r="L13" s="36"/>
    </x:row>
    <x:row r="14" ht="23" customHeight="1">
      <x:c r="A14" s="38"/>
      <x:c r="B14" s="36"/>
      <x:c r="C14" s="36"/>
      <x:c r="D14" s="36"/>
      <x:c r="E14" s="36"/>
      <x:c r="F14" s="36"/>
      <x:c r="G14" s="36"/>
      <x:c r="H14" s="41" t="str">
        <x:f>IF(COUNT(E14:G14)=3,F14-E14,"")</x:f>
      </x:c>
      <x:c r="I14" s="41" t="str">
        <x:f>IF(COUNT(E14:G14)=3,G14-F14,"")</x:f>
      </x:c>
      <x:c r="J14" s="41" t="str">
        <x:f>IF(COUNT(E14:G14)=3,G14-E14,"")</x:f>
      </x:c>
      <x:c r="K14" s="41" t="str">
        <x:f>IF(COUNT(E14:G14)=3,J14-H14-I14,"")</x:f>
      </x:c>
      <x:c r="L14" s="36"/>
    </x:row>
    <x:row r="15" ht="23" customHeight="1">
      <x:c r="A15" s="38"/>
      <x:c r="B15" s="36"/>
      <x:c r="C15" s="36"/>
      <x:c r="D15" s="36"/>
      <x:c r="E15" s="36"/>
      <x:c r="F15" s="36"/>
      <x:c r="G15" s="36"/>
      <x:c r="H15" s="41" t="str">
        <x:f>IF(COUNT(E15:G15)=3,F15-E15,"")</x:f>
      </x:c>
      <x:c r="I15" s="41" t="str">
        <x:f>IF(COUNT(E15:G15)=3,G15-F15,"")</x:f>
      </x:c>
      <x:c r="J15" s="41" t="str">
        <x:f>IF(COUNT(E15:G15)=3,G15-E15,"")</x:f>
      </x:c>
      <x:c r="K15" s="41" t="str">
        <x:f>IF(COUNT(E15:G15)=3,J15-H15-I15,"")</x:f>
      </x:c>
      <x:c r="L15" s="36"/>
    </x:row>
    <x:row r="16" ht="23" customHeight="1">
      <x:c r="A16" s="38"/>
      <x:c r="B16" s="36"/>
      <x:c r="C16" s="36"/>
      <x:c r="D16" s="36"/>
      <x:c r="E16" s="36"/>
      <x:c r="F16" s="36"/>
      <x:c r="G16" s="36"/>
      <x:c r="H16" s="41" t="str">
        <x:f>IF(COUNT(E16:G16)=3,F16-E16,"")</x:f>
      </x:c>
      <x:c r="I16" s="41" t="str">
        <x:f>IF(COUNT(E16:G16)=3,G16-F16,"")</x:f>
      </x:c>
      <x:c r="J16" s="41" t="str">
        <x:f>IF(COUNT(E16:G16)=3,G16-E16,"")</x:f>
      </x:c>
      <x:c r="K16" s="41" t="str">
        <x:f>IF(COUNT(E16:G16)=3,J16-H16-I16,"")</x:f>
      </x:c>
      <x:c r="L16" s="36"/>
    </x:row>
    <x:row r="17" ht="23" customHeight="1">
      <x:c r="A17" s="38"/>
      <x:c r="B17" s="36"/>
      <x:c r="C17" s="36"/>
      <x:c r="D17" s="36"/>
      <x:c r="E17" s="36"/>
      <x:c r="F17" s="36"/>
      <x:c r="G17" s="36"/>
      <x:c r="H17" s="41" t="str">
        <x:f>IF(COUNT(E17:G17)=3,F17-E17,"")</x:f>
      </x:c>
      <x:c r="I17" s="41" t="str">
        <x:f>IF(COUNT(E17:G17)=3,G17-F17,"")</x:f>
      </x:c>
      <x:c r="J17" s="41" t="str">
        <x:f>IF(COUNT(E17:G17)=3,G17-E17,"")</x:f>
      </x:c>
      <x:c r="K17" s="41" t="str">
        <x:f>IF(COUNT(E17:G17)=3,J17-H17-I17,"")</x:f>
      </x:c>
      <x:c r="L17" s="36"/>
    </x:row>
    <x:row r="18" ht="23" customHeight="1">
      <x:c r="A18" s="38"/>
      <x:c r="B18" s="36"/>
      <x:c r="C18" s="36"/>
      <x:c r="D18" s="36"/>
      <x:c r="E18" s="36"/>
      <x:c r="F18" s="36"/>
      <x:c r="G18" s="36"/>
      <x:c r="H18" s="41" t="str">
        <x:f>IF(COUNT(E18:G18)=3,F18-E18,"")</x:f>
      </x:c>
      <x:c r="I18" s="41" t="str">
        <x:f>IF(COUNT(E18:G18)=3,G18-F18,"")</x:f>
      </x:c>
      <x:c r="J18" s="41" t="str">
        <x:f>IF(COUNT(E18:G18)=3,G18-E18,"")</x:f>
      </x:c>
      <x:c r="K18" s="41" t="str">
        <x:f>IF(COUNT(E18:G18)=3,J18-H18-I18,"")</x:f>
      </x:c>
      <x:c r="L18" s="36"/>
    </x:row>
    <x:row r="19" ht="23" customHeight="1">
      <x:c r="A19" s="38"/>
      <x:c r="B19" s="36"/>
      <x:c r="C19" s="36"/>
      <x:c r="D19" s="36"/>
      <x:c r="E19" s="36"/>
      <x:c r="F19" s="36"/>
      <x:c r="G19" s="36"/>
      <x:c r="H19" s="41" t="str">
        <x:f>IF(COUNT(E19:G19)=3,F19-E19,"")</x:f>
      </x:c>
      <x:c r="I19" s="41" t="str">
        <x:f>IF(COUNT(E19:G19)=3,G19-F19,"")</x:f>
      </x:c>
      <x:c r="J19" s="41" t="str">
        <x:f>IF(COUNT(E19:G19)=3,G19-E19,"")</x:f>
      </x:c>
      <x:c r="K19" s="41" t="str">
        <x:f>IF(COUNT(E19:G19)=3,J19-H19-I19,"")</x:f>
      </x:c>
      <x:c r="L19" s="36"/>
    </x:row>
    <x:row r="20" ht="23" customHeight="1">
      <x:c r="A20" s="38"/>
      <x:c r="B20" s="36"/>
      <x:c r="C20" s="36"/>
      <x:c r="D20" s="36"/>
      <x:c r="E20" s="36"/>
      <x:c r="F20" s="36"/>
      <x:c r="G20" s="36"/>
      <x:c r="H20" s="41" t="str">
        <x:f>IF(COUNT(E20:G20)=3,F20-E20,"")</x:f>
      </x:c>
      <x:c r="I20" s="41" t="str">
        <x:f>IF(COUNT(E20:G20)=3,G20-F20,"")</x:f>
      </x:c>
      <x:c r="J20" s="41" t="str">
        <x:f>IF(COUNT(E20:G20)=3,G20-E20,"")</x:f>
      </x:c>
      <x:c r="K20" s="41" t="str">
        <x:f>IF(COUNT(E20:G20)=3,J20-H20-I20,"")</x:f>
      </x:c>
      <x:c r="L20" s="36"/>
    </x:row>
    <x:row r="21" ht="23" customHeight="1">
      <x:c r="A21" s="38"/>
      <x:c r="B21" s="36"/>
      <x:c r="C21" s="36"/>
      <x:c r="D21" s="36"/>
      <x:c r="E21" s="36"/>
      <x:c r="F21" s="36"/>
      <x:c r="G21" s="36"/>
      <x:c r="H21" s="41" t="str">
        <x:f>IF(COUNT(E21:G21)=3,F21-E21,"")</x:f>
      </x:c>
      <x:c r="I21" s="41" t="str">
        <x:f>IF(COUNT(E21:G21)=3,G21-F21,"")</x:f>
      </x:c>
      <x:c r="J21" s="41" t="str">
        <x:f>IF(COUNT(E21:G21)=3,G21-E21,"")</x:f>
      </x:c>
      <x:c r="K21" s="41" t="str">
        <x:f>IF(COUNT(E21:G21)=3,J21-H21-I21,"")</x:f>
      </x:c>
      <x:c r="L21" s="36"/>
    </x:row>
    <x:row r="22" ht="23" customHeight="1">
      <x:c r="A22" s="38"/>
      <x:c r="B22" s="36"/>
      <x:c r="C22" s="36"/>
      <x:c r="D22" s="36"/>
      <x:c r="E22" s="36"/>
      <x:c r="F22" s="36"/>
      <x:c r="G22" s="36"/>
      <x:c r="H22" s="41" t="str">
        <x:f>IF(COUNT(E22:G22)=3,F22-E22,"")</x:f>
      </x:c>
      <x:c r="I22" s="41" t="str">
        <x:f>IF(COUNT(E22:G22)=3,G22-F22,"")</x:f>
      </x:c>
      <x:c r="J22" s="41" t="str">
        <x:f>IF(COUNT(E22:G22)=3,G22-E22,"")</x:f>
      </x:c>
      <x:c r="K22" s="41" t="str">
        <x:f>IF(COUNT(E22:G22)=3,J22-H22-I22,"")</x:f>
      </x:c>
      <x:c r="L22" s="36"/>
    </x:row>
    <x:row r="23" ht="23" customHeight="1">
      <x:c r="A23" s="38"/>
      <x:c r="B23" s="36"/>
      <x:c r="C23" s="36"/>
      <x:c r="D23" s="36"/>
      <x:c r="E23" s="36"/>
      <x:c r="F23" s="36"/>
      <x:c r="G23" s="36"/>
      <x:c r="H23" s="41" t="str">
        <x:f>IF(COUNT(E23:G23)=3,F23-E23,"")</x:f>
      </x:c>
      <x:c r="I23" s="41" t="str">
        <x:f>IF(COUNT(E23:G23)=3,G23-F23,"")</x:f>
      </x:c>
      <x:c r="J23" s="41" t="str">
        <x:f>IF(COUNT(E23:G23)=3,G23-E23,"")</x:f>
      </x:c>
      <x:c r="K23" s="41" t="str">
        <x:f>IF(COUNT(E23:G23)=3,J23-H23-I23,"")</x:f>
      </x:c>
      <x:c r="L23" s="36"/>
    </x:row>
    <x:row r="24" ht="23" customHeight="1">
      <x:c r="A24" s="38"/>
      <x:c r="B24" s="36"/>
      <x:c r="C24" s="36"/>
      <x:c r="D24" s="36"/>
      <x:c r="E24" s="36"/>
      <x:c r="F24" s="36"/>
      <x:c r="G24" s="36"/>
      <x:c r="H24" s="41" t="str">
        <x:f>IF(COUNT(E24:G24)=3,F24-E24,"")</x:f>
      </x:c>
      <x:c r="I24" s="41" t="str">
        <x:f>IF(COUNT(E24:G24)=3,G24-F24,"")</x:f>
      </x:c>
      <x:c r="J24" s="41" t="str">
        <x:f>IF(COUNT(E24:G24)=3,G24-E24,"")</x:f>
      </x:c>
      <x:c r="K24" s="41" t="str">
        <x:f>IF(COUNT(E24:G24)=3,J24-H24-I24,"")</x:f>
      </x:c>
      <x:c r="L24" s="36"/>
    </x:row>
    <x:row r="25" ht="23" customHeight="1">
      <x:c r="A25" s="38"/>
      <x:c r="B25" s="36"/>
      <x:c r="C25" s="36"/>
      <x:c r="D25" s="36"/>
      <x:c r="E25" s="36"/>
      <x:c r="F25" s="36"/>
      <x:c r="G25" s="36"/>
      <x:c r="H25" s="41" t="str">
        <x:f>IF(COUNT(E25:G25)=3,F25-E25,"")</x:f>
      </x:c>
      <x:c r="I25" s="41" t="str">
        <x:f>IF(COUNT(E25:G25)=3,G25-F25,"")</x:f>
      </x:c>
      <x:c r="J25" s="41" t="str">
        <x:f>IF(COUNT(E25:G25)=3,G25-E25,"")</x:f>
      </x:c>
      <x:c r="K25" s="41" t="str">
        <x:f>IF(COUNT(E25:G25)=3,J25-H25-I25,"")</x:f>
      </x:c>
      <x:c r="L25" s="36"/>
    </x:row>
    <x:row r="26" ht="23" customHeight="1">
      <x:c r="A26" s="38"/>
      <x:c r="B26" s="36"/>
      <x:c r="C26" s="36"/>
      <x:c r="D26" s="36"/>
      <x:c r="E26" s="36"/>
      <x:c r="F26" s="36"/>
      <x:c r="G26" s="36"/>
      <x:c r="H26" s="41" t="str">
        <x:f>IF(COUNT(E26:G26)=3,F26-E26,"")</x:f>
      </x:c>
      <x:c r="I26" s="41" t="str">
        <x:f>IF(COUNT(E26:G26)=3,G26-F26,"")</x:f>
      </x:c>
      <x:c r="J26" s="41" t="str">
        <x:f>IF(COUNT(E26:G26)=3,G26-E26,"")</x:f>
      </x:c>
      <x:c r="K26" s="41" t="str">
        <x:f>IF(COUNT(E26:G26)=3,J26-H26-I26,"")</x:f>
      </x:c>
      <x:c r="L26" s="36"/>
    </x:row>
    <x:row r="27" ht="23" customHeight="1">
      <x:c r="A27" s="38"/>
      <x:c r="B27" s="36"/>
      <x:c r="C27" s="36"/>
      <x:c r="D27" s="36"/>
      <x:c r="E27" s="36"/>
      <x:c r="F27" s="36"/>
      <x:c r="G27" s="36"/>
      <x:c r="H27" s="41" t="str">
        <x:f>IF(COUNT(E27:G27)=3,F27-E27,"")</x:f>
      </x:c>
      <x:c r="I27" s="41" t="str">
        <x:f>IF(COUNT(E27:G27)=3,G27-F27,"")</x:f>
      </x:c>
      <x:c r="J27" s="41" t="str">
        <x:f>IF(COUNT(E27:G27)=3,G27-E27,"")</x:f>
      </x:c>
      <x:c r="K27" s="41" t="str">
        <x:f>IF(COUNT(E27:G27)=3,J27-H27-I27,"")</x:f>
      </x:c>
      <x:c r="L27" s="36"/>
    </x:row>
    <x:row r="28" ht="23" customHeight="1">
      <x:c r="A28" s="38"/>
      <x:c r="B28" s="36"/>
      <x:c r="C28" s="36"/>
      <x:c r="D28" s="36"/>
      <x:c r="E28" s="36"/>
      <x:c r="F28" s="36"/>
      <x:c r="G28" s="36"/>
      <x:c r="H28" s="41" t="str">
        <x:f>IF(COUNT(E28:G28)=3,F28-E28,"")</x:f>
      </x:c>
      <x:c r="I28" s="41" t="str">
        <x:f>IF(COUNT(E28:G28)=3,G28-F28,"")</x:f>
      </x:c>
      <x:c r="J28" s="41" t="str">
        <x:f>IF(COUNT(E28:G28)=3,G28-E28,"")</x:f>
      </x:c>
      <x:c r="K28" s="41" t="str">
        <x:f>IF(COUNT(E28:G28)=3,J28-H28-I28,"")</x:f>
      </x:c>
      <x:c r="L28" s="36"/>
    </x:row>
    <x:row r="29" ht="23" customHeight="1">
      <x:c r="A29" s="38"/>
      <x:c r="B29" s="36"/>
      <x:c r="C29" s="36"/>
      <x:c r="D29" s="36"/>
      <x:c r="E29" s="36"/>
      <x:c r="F29" s="36"/>
      <x:c r="G29" s="36"/>
      <x:c r="H29" s="41" t="str">
        <x:f>IF(COUNT(E29:G29)=3,F29-E29,"")</x:f>
      </x:c>
      <x:c r="I29" s="41" t="str">
        <x:f>IF(COUNT(E29:G29)=3,G29-F29,"")</x:f>
      </x:c>
      <x:c r="J29" s="41" t="str">
        <x:f>IF(COUNT(E29:G29)=3,G29-E29,"")</x:f>
      </x:c>
      <x:c r="K29" s="41" t="str">
        <x:f>IF(COUNT(E29:G29)=3,J29-H29-I29,"")</x:f>
      </x:c>
      <x:c r="L29" s="36"/>
    </x:row>
    <x:row r="30" ht="23" customHeight="1">
      <x:c r="A30" s="38"/>
      <x:c r="B30" s="36"/>
      <x:c r="C30" s="36"/>
      <x:c r="D30" s="36"/>
      <x:c r="E30" s="36"/>
      <x:c r="F30" s="36"/>
      <x:c r="G30" s="36"/>
      <x:c r="H30" s="41" t="str">
        <x:f>IF(COUNT(E30:G30)=3,F30-E30,"")</x:f>
      </x:c>
      <x:c r="I30" s="41" t="str">
        <x:f>IF(COUNT(E30:G30)=3,G30-F30,"")</x:f>
      </x:c>
      <x:c r="J30" s="41" t="str">
        <x:f>IF(COUNT(E30:G30)=3,G30-E30,"")</x:f>
      </x:c>
      <x:c r="K30" s="41" t="str">
        <x:f>IF(COUNT(E30:G30)=3,J30-H30-I30,"")</x:f>
      </x:c>
      <x:c r="L30" s="36"/>
    </x:row>
    <x:row r="31" ht="23" customHeight="1">
      <x:c r="A31" s="38"/>
      <x:c r="B31" s="36"/>
      <x:c r="C31" s="36"/>
      <x:c r="D31" s="36"/>
      <x:c r="E31" s="36"/>
      <x:c r="F31" s="36"/>
      <x:c r="G31" s="36"/>
      <x:c r="H31" s="41" t="str">
        <x:f>IF(COUNT(E31:G31)=3,F31-E31,"")</x:f>
      </x:c>
      <x:c r="I31" s="41" t="str">
        <x:f>IF(COUNT(E31:G31)=3,G31-F31,"")</x:f>
      </x:c>
      <x:c r="J31" s="41" t="str">
        <x:f>IF(COUNT(E31:G31)=3,G31-E31,"")</x:f>
      </x:c>
      <x:c r="K31" s="41" t="str">
        <x:f>IF(COUNT(E31:G31)=3,J31-H31-I31,"")</x:f>
      </x:c>
      <x:c r="L31" s="36"/>
    </x:row>
    <x:row r="32" ht="23" customHeight="1">
      <x:c r="A32" s="38"/>
      <x:c r="B32" s="36"/>
      <x:c r="C32" s="36"/>
      <x:c r="D32" s="36"/>
      <x:c r="E32" s="36"/>
      <x:c r="F32" s="36"/>
      <x:c r="G32" s="36"/>
      <x:c r="H32" s="41" t="str">
        <x:f>IF(COUNT(E32:G32)=3,F32-E32,"")</x:f>
      </x:c>
      <x:c r="I32" s="41" t="str">
        <x:f>IF(COUNT(E32:G32)=3,G32-F32,"")</x:f>
      </x:c>
      <x:c r="J32" s="41" t="str">
        <x:f>IF(COUNT(E32:G32)=3,G32-E32,"")</x:f>
      </x:c>
      <x:c r="K32" s="41" t="str">
        <x:f>IF(COUNT(E32:G32)=3,J32-H32-I32,"")</x:f>
      </x:c>
      <x:c r="L32" s="36"/>
    </x:row>
    <x:row r="33" ht="23" customHeight="1">
      <x:c r="A33" s="38"/>
      <x:c r="B33" s="36"/>
      <x:c r="C33" s="36"/>
      <x:c r="D33" s="36"/>
      <x:c r="E33" s="36"/>
      <x:c r="F33" s="36"/>
      <x:c r="G33" s="36"/>
      <x:c r="H33" s="41" t="str">
        <x:f>IF(COUNT(E33:G33)=3,F33-E33,"")</x:f>
      </x:c>
      <x:c r="I33" s="41" t="str">
        <x:f>IF(COUNT(E33:G33)=3,G33-F33,"")</x:f>
      </x:c>
      <x:c r="J33" s="41" t="str">
        <x:f>IF(COUNT(E33:G33)=3,G33-E33,"")</x:f>
      </x:c>
      <x:c r="K33" s="41" t="str">
        <x:f>IF(COUNT(E33:G33)=3,J33-H33-I33,"")</x:f>
      </x:c>
      <x:c r="L33" s="36"/>
    </x:row>
    <x:row r="34" ht="23" customHeight="1">
      <x:c r="A34" s="38"/>
      <x:c r="B34" s="36"/>
      <x:c r="C34" s="36"/>
      <x:c r="D34" s="36"/>
      <x:c r="E34" s="36"/>
      <x:c r="F34" s="36"/>
      <x:c r="G34" s="36"/>
      <x:c r="H34" s="41" t="str">
        <x:f>IF(COUNT(E34:G34)=3,F34-E34,"")</x:f>
      </x:c>
      <x:c r="I34" s="41" t="str">
        <x:f>IF(COUNT(E34:G34)=3,G34-F34,"")</x:f>
      </x:c>
      <x:c r="J34" s="41" t="str">
        <x:f>IF(COUNT(E34:G34)=3,G34-E34,"")</x:f>
      </x:c>
      <x:c r="K34" s="41" t="str">
        <x:f>IF(COUNT(E34:G34)=3,J34-H34-I34,"")</x:f>
      </x:c>
      <x:c r="L34" s="36"/>
    </x:row>
    <x:row r="35" ht="23" customHeight="1">
      <x:c r="A35" s="38"/>
      <x:c r="B35" s="36"/>
      <x:c r="C35" s="36"/>
      <x:c r="D35" s="36"/>
      <x:c r="E35" s="36"/>
      <x:c r="F35" s="36"/>
      <x:c r="G35" s="36"/>
      <x:c r="H35" s="41" t="str">
        <x:f>IF(COUNT(E35:G35)=3,F35-E35,"")</x:f>
      </x:c>
      <x:c r="I35" s="41" t="str">
        <x:f>IF(COUNT(E35:G35)=3,G35-F35,"")</x:f>
      </x:c>
      <x:c r="J35" s="41" t="str">
        <x:f>IF(COUNT(E35:G35)=3,G35-E35,"")</x:f>
      </x:c>
      <x:c r="K35" s="41" t="str">
        <x:f>IF(COUNT(E35:G35)=3,J35-H35-I35,"")</x:f>
      </x:c>
      <x:c r="L35" s="36"/>
    </x:row>
    <x:row r="36" ht="23" customHeight="1">
      <x:c r="A36" s="38"/>
      <x:c r="B36" s="36"/>
      <x:c r="C36" s="36"/>
      <x:c r="D36" s="36"/>
      <x:c r="E36" s="36"/>
      <x:c r="F36" s="36"/>
      <x:c r="G36" s="36"/>
      <x:c r="H36" s="41" t="str">
        <x:f>IF(COUNT(E36:G36)=3,F36-E36,"")</x:f>
      </x:c>
      <x:c r="I36" s="41" t="str">
        <x:f>IF(COUNT(E36:G36)=3,G36-F36,"")</x:f>
      </x:c>
      <x:c r="J36" s="41" t="str">
        <x:f>IF(COUNT(E36:G36)=3,G36-E36,"")</x:f>
      </x:c>
      <x:c r="K36" s="41" t="str">
        <x:f>IF(COUNT(E36:G36)=3,J36-H36-I36,"")</x:f>
      </x:c>
      <x:c r="L36" s="36"/>
    </x:row>
    <x:row r="37" ht="23" customHeight="1">
      <x:c r="A37" s="38"/>
      <x:c r="B37" s="36"/>
      <x:c r="C37" s="36"/>
      <x:c r="D37" s="36"/>
      <x:c r="E37" s="36"/>
      <x:c r="F37" s="36"/>
      <x:c r="G37" s="36"/>
      <x:c r="H37" s="41" t="str">
        <x:f>IF(COUNT(E37:G37)=3,F37-E37,"")</x:f>
      </x:c>
      <x:c r="I37" s="41" t="str">
        <x:f>IF(COUNT(E37:G37)=3,G37-F37,"")</x:f>
      </x:c>
      <x:c r="J37" s="41" t="str">
        <x:f>IF(COUNT(E37:G37)=3,G37-E37,"")</x:f>
      </x:c>
      <x:c r="K37" s="41" t="str">
        <x:f>IF(COUNT(E37:G37)=3,J37-H37-I37,"")</x:f>
      </x:c>
      <x:c r="L37" s="36"/>
    </x:row>
    <x:row r="38" ht="23" customHeight="1">
      <x:c r="A38" s="38"/>
      <x:c r="B38" s="36"/>
      <x:c r="C38" s="36"/>
      <x:c r="D38" s="36"/>
      <x:c r="E38" s="36"/>
      <x:c r="F38" s="36"/>
      <x:c r="G38" s="36"/>
      <x:c r="H38" s="41" t="str">
        <x:f>IF(COUNT(E38:G38)=3,F38-E38,"")</x:f>
      </x:c>
      <x:c r="I38" s="41" t="str">
        <x:f>IF(COUNT(E38:G38)=3,G38-F38,"")</x:f>
      </x:c>
      <x:c r="J38" s="41" t="str">
        <x:f>IF(COUNT(E38:G38)=3,G38-E38,"")</x:f>
      </x:c>
      <x:c r="K38" s="41" t="str">
        <x:f>IF(COUNT(E38:G38)=3,J38-H38-I38,"")</x:f>
      </x:c>
      <x:c r="L38" s="36"/>
    </x:row>
    <x:row r="39" ht="23" customHeight="1">
      <x:c r="A39" s="38"/>
      <x:c r="B39" s="36"/>
      <x:c r="C39" s="36"/>
      <x:c r="D39" s="36"/>
      <x:c r="E39" s="36"/>
      <x:c r="F39" s="36"/>
      <x:c r="G39" s="36"/>
      <x:c r="H39" s="41" t="str">
        <x:f>IF(COUNT(E39:G39)=3,F39-E39,"")</x:f>
      </x:c>
      <x:c r="I39" s="41" t="str">
        <x:f>IF(COUNT(E39:G39)=3,G39-F39,"")</x:f>
      </x:c>
      <x:c r="J39" s="41" t="str">
        <x:f>IF(COUNT(E39:G39)=3,G39-E39,"")</x:f>
      </x:c>
      <x:c r="K39" s="41" t="str">
        <x:f>IF(COUNT(E39:G39)=3,J39-H39-I39,"")</x:f>
      </x:c>
      <x:c r="L39" s="36"/>
    </x:row>
    <x:row r="40" ht="23" customHeight="1">
      <x:c r="A40" s="38"/>
      <x:c r="B40" s="36"/>
      <x:c r="C40" s="36"/>
      <x:c r="D40" s="36"/>
      <x:c r="E40" s="36"/>
      <x:c r="F40" s="36"/>
      <x:c r="G40" s="36"/>
      <x:c r="H40" s="41" t="str">
        <x:f>IF(COUNT(E40:G40)=3,F40-E40,"")</x:f>
      </x:c>
      <x:c r="I40" s="41" t="str">
        <x:f>IF(COUNT(E40:G40)=3,G40-F40,"")</x:f>
      </x:c>
      <x:c r="J40" s="41" t="str">
        <x:f>IF(COUNT(E40:G40)=3,G40-E40,"")</x:f>
      </x:c>
      <x:c r="K40" s="41" t="str">
        <x:f>IF(COUNT(E40:G40)=3,J40-H40-I40,"")</x:f>
      </x:c>
      <x:c r="L40" s="36"/>
    </x:row>
    <x:row r="41" ht="23" customHeight="1">
      <x:c r="A41" s="38"/>
      <x:c r="B41" s="36"/>
      <x:c r="C41" s="36"/>
      <x:c r="D41" s="36"/>
      <x:c r="E41" s="36"/>
      <x:c r="F41" s="36"/>
      <x:c r="G41" s="36"/>
      <x:c r="H41" s="41" t="str">
        <x:f>IF(COUNT(E41:G41)=3,F41-E41,"")</x:f>
      </x:c>
      <x:c r="I41" s="41" t="str">
        <x:f>IF(COUNT(E41:G41)=3,G41-F41,"")</x:f>
      </x:c>
      <x:c r="J41" s="41" t="str">
        <x:f>IF(COUNT(E41:G41)=3,G41-E41,"")</x:f>
      </x:c>
      <x:c r="K41" s="41" t="str">
        <x:f>IF(COUNT(E41:G41)=3,J41-H41-I41,"")</x:f>
      </x:c>
      <x:c r="L41" s="36"/>
    </x:row>
    <x:row r="42" ht="23" customHeight="1">
      <x:c r="A42" s="38"/>
      <x:c r="B42" s="36"/>
      <x:c r="C42" s="36"/>
      <x:c r="D42" s="36"/>
      <x:c r="E42" s="36"/>
      <x:c r="F42" s="36"/>
      <x:c r="G42" s="36"/>
      <x:c r="H42" s="41" t="str">
        <x:f>IF(COUNT(E42:G42)=3,F42-E42,"")</x:f>
      </x:c>
      <x:c r="I42" s="41" t="str">
        <x:f>IF(COUNT(E42:G42)=3,G42-F42,"")</x:f>
      </x:c>
      <x:c r="J42" s="41" t="str">
        <x:f>IF(COUNT(E42:G42)=3,G42-E42,"")</x:f>
      </x:c>
      <x:c r="K42" s="41" t="str">
        <x:f>IF(COUNT(E42:G42)=3,J42-H42-I42,"")</x:f>
      </x:c>
      <x:c r="L42" s="36"/>
    </x:row>
    <x:row r="43" ht="23" customHeight="1">
      <x:c r="A43" s="38"/>
      <x:c r="B43" s="36"/>
      <x:c r="C43" s="36"/>
      <x:c r="D43" s="36"/>
      <x:c r="E43" s="36"/>
      <x:c r="F43" s="36"/>
      <x:c r="G43" s="36"/>
      <x:c r="H43" s="41" t="str">
        <x:f>IF(COUNT(E43:G43)=3,F43-E43,"")</x:f>
      </x:c>
      <x:c r="I43" s="41" t="str">
        <x:f>IF(COUNT(E43:G43)=3,G43-F43,"")</x:f>
      </x:c>
      <x:c r="J43" s="41" t="str">
        <x:f>IF(COUNT(E43:G43)=3,G43-E43,"")</x:f>
      </x:c>
      <x:c r="K43" s="41" t="str">
        <x:f>IF(COUNT(E43:G43)=3,J43-H43-I43,"")</x:f>
      </x:c>
      <x:c r="L43" s="36"/>
    </x:row>
    <x:row r="44" ht="23" customHeight="1">
      <x:c r="A44" s="38"/>
      <x:c r="B44" s="36"/>
      <x:c r="C44" s="36"/>
      <x:c r="D44" s="36"/>
      <x:c r="E44" s="36"/>
      <x:c r="F44" s="36"/>
      <x:c r="G44" s="36"/>
      <x:c r="H44" s="41" t="str">
        <x:f>IF(COUNT(E44:G44)=3,F44-E44,"")</x:f>
      </x:c>
      <x:c r="I44" s="41" t="str">
        <x:f>IF(COUNT(E44:G44)=3,G44-F44,"")</x:f>
      </x:c>
      <x:c r="J44" s="41" t="str">
        <x:f>IF(COUNT(E44:G44)=3,G44-E44,"")</x:f>
      </x:c>
      <x:c r="K44" s="41" t="str">
        <x:f>IF(COUNT(E44:G44)=3,J44-H44-I44,"")</x:f>
      </x:c>
      <x:c r="L44" s="36"/>
    </x:row>
    <x:row r="45" ht="23" customHeight="1">
      <x:c r="A45" s="38"/>
      <x:c r="B45" s="36"/>
      <x:c r="C45" s="36"/>
      <x:c r="D45" s="36"/>
      <x:c r="E45" s="36"/>
      <x:c r="F45" s="36"/>
      <x:c r="G45" s="36"/>
      <x:c r="H45" s="41" t="str">
        <x:f>IF(COUNT(E45:G45)=3,F45-E45,"")</x:f>
      </x:c>
      <x:c r="I45" s="41" t="str">
        <x:f>IF(COUNT(E45:G45)=3,G45-F45,"")</x:f>
      </x:c>
      <x:c r="J45" s="41" t="str">
        <x:f>IF(COUNT(E45:G45)=3,G45-E45,"")</x:f>
      </x:c>
      <x:c r="K45" s="41" t="str">
        <x:f>IF(COUNT(E45:G45)=3,J45-H45-I45,"")</x:f>
      </x:c>
      <x:c r="L45" s="36"/>
    </x:row>
    <x:row r="46" ht="23" customHeight="1">
      <x:c r="A46" s="38"/>
      <x:c r="B46" s="36"/>
      <x:c r="C46" s="36"/>
      <x:c r="D46" s="36"/>
      <x:c r="E46" s="36"/>
      <x:c r="F46" s="36"/>
      <x:c r="G46" s="36"/>
      <x:c r="H46" s="41" t="str">
        <x:f>IF(COUNT(E46:G46)=3,F46-E46,"")</x:f>
      </x:c>
      <x:c r="I46" s="41" t="str">
        <x:f>IF(COUNT(E46:G46)=3,G46-F46,"")</x:f>
      </x:c>
      <x:c r="J46" s="41" t="str">
        <x:f>IF(COUNT(E46:G46)=3,G46-E46,"")</x:f>
      </x:c>
      <x:c r="K46" s="41" t="str">
        <x:f>IF(COUNT(E46:G46)=3,J46-H46-I46,"")</x:f>
      </x:c>
      <x:c r="L46" s="36"/>
    </x:row>
    <x:row r="47" ht="23" customHeight="1">
      <x:c r="A47" s="38"/>
      <x:c r="B47" s="36"/>
      <x:c r="C47" s="36"/>
      <x:c r="D47" s="36"/>
      <x:c r="E47" s="36"/>
      <x:c r="F47" s="36"/>
      <x:c r="G47" s="36"/>
      <x:c r="H47" s="41" t="str">
        <x:f>IF(COUNT(E47:G47)=3,F47-E47,"")</x:f>
      </x:c>
      <x:c r="I47" s="41" t="str">
        <x:f>IF(COUNT(E47:G47)=3,G47-F47,"")</x:f>
      </x:c>
      <x:c r="J47" s="41" t="str">
        <x:f>IF(COUNT(E47:G47)=3,G47-E47,"")</x:f>
      </x:c>
      <x:c r="K47" s="41" t="str">
        <x:f>IF(COUNT(E47:G47)=3,J47-H47-I47,"")</x:f>
      </x:c>
      <x:c r="L47" s="36"/>
    </x:row>
    <x:row r="48" ht="23" customHeight="1">
      <x:c r="A48" s="38"/>
      <x:c r="B48" s="36"/>
      <x:c r="C48" s="36"/>
      <x:c r="D48" s="36"/>
      <x:c r="E48" s="36"/>
      <x:c r="F48" s="36"/>
      <x:c r="G48" s="36"/>
      <x:c r="H48" s="41" t="str">
        <x:f>IF(COUNT(E48:G48)=3,F48-E48,"")</x:f>
      </x:c>
      <x:c r="I48" s="41" t="str">
        <x:f>IF(COUNT(E48:G48)=3,G48-F48,"")</x:f>
      </x:c>
      <x:c r="J48" s="41" t="str">
        <x:f>IF(COUNT(E48:G48)=3,G48-E48,"")</x:f>
      </x:c>
      <x:c r="K48" s="41" t="str">
        <x:f>IF(COUNT(E48:G48)=3,J48-H48-I48,"")</x:f>
      </x:c>
      <x:c r="L48" s="36"/>
    </x:row>
    <x:row r="49" ht="23" customHeight="1">
      <x:c r="A49" s="38"/>
      <x:c r="B49" s="36"/>
      <x:c r="C49" s="36"/>
      <x:c r="D49" s="36"/>
      <x:c r="E49" s="36"/>
      <x:c r="F49" s="36"/>
      <x:c r="G49" s="36"/>
      <x:c r="H49" s="41" t="str">
        <x:f>IF(COUNT(E49:G49)=3,F49-E49,"")</x:f>
      </x:c>
      <x:c r="I49" s="41" t="str">
        <x:f>IF(COUNT(E49:G49)=3,G49-F49,"")</x:f>
      </x:c>
      <x:c r="J49" s="41" t="str">
        <x:f>IF(COUNT(E49:G49)=3,G49-E49,"")</x:f>
      </x:c>
      <x:c r="K49" s="41" t="str">
        <x:f>IF(COUNT(E49:G49)=3,J49-H49-I49,"")</x:f>
      </x:c>
      <x:c r="L49" s="36"/>
    </x:row>
    <x:row r="50" ht="23" customHeight="1">
      <x:c r="A50" s="38"/>
      <x:c r="B50" s="36"/>
      <x:c r="C50" s="36"/>
      <x:c r="D50" s="36"/>
      <x:c r="E50" s="36"/>
      <x:c r="F50" s="36"/>
      <x:c r="G50" s="36"/>
      <x:c r="H50" s="41" t="str">
        <x:f>IF(COUNT(E50:G50)=3,F50-E50,"")</x:f>
      </x:c>
      <x:c r="I50" s="41" t="str">
        <x:f>IF(COUNT(E50:G50)=3,G50-F50,"")</x:f>
      </x:c>
      <x:c r="J50" s="41" t="str">
        <x:f>IF(COUNT(E50:G50)=3,G50-E50,"")</x:f>
      </x:c>
      <x:c r="K50" s="41" t="str">
        <x:f>IF(COUNT(E50:G50)=3,J50-H50-I50,"")</x:f>
      </x:c>
      <x:c r="L50" s="36"/>
    </x:row>
    <x:row r="51" ht="23" customHeight="1">
      <x:c r="A51" s="38"/>
      <x:c r="B51" s="36"/>
      <x:c r="C51" s="36"/>
      <x:c r="D51" s="36"/>
      <x:c r="E51" s="36"/>
      <x:c r="F51" s="36"/>
      <x:c r="G51" s="36"/>
      <x:c r="H51" s="41" t="str">
        <x:f>IF(COUNT(E51:G51)=3,F51-E51,"")</x:f>
      </x:c>
      <x:c r="I51" s="41" t="str">
        <x:f>IF(COUNT(E51:G51)=3,G51-F51,"")</x:f>
      </x:c>
      <x:c r="J51" s="41" t="str">
        <x:f>IF(COUNT(E51:G51)=3,G51-E51,"")</x:f>
      </x:c>
      <x:c r="K51" s="41" t="str">
        <x:f>IF(COUNT(E51:G51)=3,J51-H51-I51,"")</x:f>
      </x:c>
      <x:c r="L51" s="36"/>
    </x:row>
    <x:row r="52" ht="23" customHeight="1">
      <x:c r="A52" s="38"/>
      <x:c r="B52" s="36"/>
      <x:c r="C52" s="36"/>
      <x:c r="D52" s="36"/>
      <x:c r="E52" s="36"/>
      <x:c r="F52" s="36"/>
      <x:c r="G52" s="36"/>
      <x:c r="H52" s="41" t="str">
        <x:f>IF(COUNT(E52:G52)=3,F52-E52,"")</x:f>
      </x:c>
      <x:c r="I52" s="41" t="str">
        <x:f>IF(COUNT(E52:G52)=3,G52-F52,"")</x:f>
      </x:c>
      <x:c r="J52" s="41" t="str">
        <x:f>IF(COUNT(E52:G52)=3,G52-E52,"")</x:f>
      </x:c>
      <x:c r="K52" s="41" t="str">
        <x:f>IF(COUNT(E52:G52)=3,J52-H52-I52,"")</x:f>
      </x:c>
      <x:c r="L52" s="36"/>
    </x:row>
    <x:row r="53" ht="23" customHeight="1">
      <x:c r="A53" s="38"/>
      <x:c r="B53" s="36"/>
      <x:c r="C53" s="36"/>
      <x:c r="D53" s="36"/>
      <x:c r="E53" s="36"/>
      <x:c r="F53" s="36"/>
      <x:c r="G53" s="36"/>
      <x:c r="H53" s="41" t="str">
        <x:f>IF(COUNT(E53:G53)=3,F53-E53,"")</x:f>
      </x:c>
      <x:c r="I53" s="41" t="str">
        <x:f>IF(COUNT(E53:G53)=3,G53-F53,"")</x:f>
      </x:c>
      <x:c r="J53" s="41" t="str">
        <x:f>IF(COUNT(E53:G53)=3,G53-E53,"")</x:f>
      </x:c>
      <x:c r="K53" s="41" t="str">
        <x:f>IF(COUNT(E53:G53)=3,J53-H53-I53,"")</x:f>
      </x:c>
      <x:c r="L53" s="36"/>
    </x:row>
    <x:row r="54" ht="23" customHeight="1">
      <x:c r="A54" s="38"/>
      <x:c r="B54" s="36"/>
      <x:c r="C54" s="36"/>
      <x:c r="D54" s="36"/>
      <x:c r="E54" s="36"/>
      <x:c r="F54" s="36"/>
      <x:c r="G54" s="36"/>
      <x:c r="H54" s="41" t="str">
        <x:f>IF(COUNT(E54:G54)=3,F54-E54,"")</x:f>
      </x:c>
      <x:c r="I54" s="41" t="str">
        <x:f>IF(COUNT(E54:G54)=3,G54-F54,"")</x:f>
      </x:c>
      <x:c r="J54" s="41" t="str">
        <x:f>IF(COUNT(E54:G54)=3,G54-E54,"")</x:f>
      </x:c>
      <x:c r="K54" s="41" t="str">
        <x:f>IF(COUNT(E54:G54)=3,J54-H54-I54,"")</x:f>
      </x:c>
      <x:c r="L54" s="36"/>
    </x:row>
    <x:row r="55" ht="23" customHeight="1">
      <x:c r="A55" s="38"/>
      <x:c r="B55" s="36"/>
      <x:c r="C55" s="36"/>
      <x:c r="D55" s="36"/>
      <x:c r="E55" s="36"/>
      <x:c r="F55" s="36"/>
      <x:c r="G55" s="36"/>
      <x:c r="H55" s="41" t="str">
        <x:f>IF(COUNT(E55:G55)=3,F55-E55,"")</x:f>
      </x:c>
      <x:c r="I55" s="41" t="str">
        <x:f>IF(COUNT(E55:G55)=3,G55-F55,"")</x:f>
      </x:c>
      <x:c r="J55" s="41" t="str">
        <x:f>IF(COUNT(E55:G55)=3,G55-E55,"")</x:f>
      </x:c>
      <x:c r="K55" s="41" t="str">
        <x:f>IF(COUNT(E55:G55)=3,J55-H55-I55,"")</x:f>
      </x:c>
      <x:c r="L55" s="36"/>
    </x:row>
  </x:sheetData>
  <x:mergeCells>
    <x:mergeCell ref="A1:L2"/>
    <x:mergeCell ref="A3:L4"/>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21" t="str">
        <x:v>Subperiod allocation of a parent amount</x:v>
      </x:c>
      <x:c r="B1" s="21"/>
      <x:c r="C1" s="21"/>
      <x:c r="D1" s="21"/>
      <x:c r="E1" s="21"/>
      <x:c r="F1" s="21"/>
      <x:c r="G1" s="21"/>
      <x:c r="H1" s="21"/>
      <x:c r="I1" s="21"/>
      <x:c r="J1" s="21"/>
      <x:c r="K1" s="21"/>
      <x:c r="L1" s="21"/>
    </x:row>
    <x:row r="2" ht="23" customHeight="1">
      <x:c r="A2" s="21"/>
      <x:c r="B2" s="21"/>
      <x:c r="C2" s="21"/>
      <x:c r="D2" s="21"/>
      <x:c r="E2" s="21"/>
      <x:c r="F2" s="21"/>
      <x:c r="G2" s="21"/>
      <x:c r="H2" s="21"/>
      <x:c r="I2" s="21"/>
      <x:c r="J2" s="21"/>
      <x:c r="K2" s="21"/>
      <x:c r="L2" s="21"/>
    </x:row>
    <x:row r="3" ht="23" customHeight="1">
      <x:c r="A3" s="25" t="str">
        <x:v>A distribution of annual or multiannual values is not new monthly measurement. All subperiod weights for a parent and basis must sum to one; preserve signs.</x:v>
      </x:c>
      <x:c r="B3" s="25"/>
      <x:c r="C3" s="25"/>
      <x:c r="D3" s="25"/>
      <x:c r="E3" s="25"/>
      <x:c r="F3" s="25"/>
      <x:c r="G3" s="25"/>
      <x:c r="H3" s="25"/>
      <x:c r="I3" s="25"/>
      <x:c r="J3" s="25"/>
      <x:c r="K3" s="25"/>
      <x:c r="L3" s="25"/>
    </x:row>
    <x:row r="4" ht="23" customHeight="1">
      <x:c r="A4" s="25"/>
      <x:c r="B4" s="25"/>
      <x:c r="C4" s="25"/>
      <x:c r="D4" s="25"/>
      <x:c r="E4" s="25"/>
      <x:c r="F4" s="25"/>
      <x:c r="G4" s="25"/>
      <x:c r="H4" s="25"/>
      <x:c r="I4" s="25"/>
      <x:c r="J4" s="25"/>
      <x:c r="K4" s="25"/>
      <x:c r="L4" s="25"/>
    </x:row>
    <x:row r="5" ht="80" customHeight="1">
      <x:c r="A5" s="29" t="str">
        <x:v>Parent period key</x:v>
      </x:c>
      <x:c r="B5" s="29" t="str">
        <x:v>Subperiod label</x:v>
      </x:c>
      <x:c r="C5" s="29" t="str">
        <x:v>Weight
w_t,m
[fraction]</x:v>
      </x:c>
      <x:c r="D5" s="29" t="str">
        <x:v>Parent net mass
Q_t
[t CO2e]</x:v>
      </x:c>
      <x:c r="E5" s="29" t="str">
        <x:v>Allocated mass
Q_t,m
[t CO2e]</x:v>
      </x:c>
      <x:c r="F5" s="29" t="str">
        <x:v>Basis</x:v>
      </x:c>
      <x:c r="G5" s="29" t="str">
        <x:v>Weight total
sum_m w_t,m
[dimensionless]</x:v>
      </x:c>
      <x:c r="H5" s="29" t="str">
        <x:v>Allocated total
sum_m Q_t,m
[t CO2e]</x:v>
      </x:c>
      <x:c r="I5" s="29" t="str">
        <x:v>Closure residual
r_allocation,t
[t CO2e]</x:v>
      </x:c>
      <x:c r="J5" s="29" t="str">
        <x:v>Interpretation</x:v>
      </x:c>
      <x:c r="K5" s="29" t="str">
        <x:v>Allocation evidence</x:v>
      </x:c>
      <x:c r="L5" s="29" t="str">
        <x:v>Check</x:v>
      </x:c>
      <x:c r="M5"/>
      <x:c r="N5"/>
      <x:c r="O5"/>
      <x:c r="P5"/>
    </x:row>
    <x:row r="6" ht="23" customHeight="1">
      <x:c r="A6" s="38"/>
      <x:c r="B6" s="36"/>
      <x:c r="C6" s="36"/>
      <x:c r="D6" s="41" t="str">
        <x:f>IF(A6="","",IF(F6="EA",IF(COUNTIF(ExAnte!$A$6:$A$55,A6)=1,IF(ISNUMBER(INDEX(ExAnte!$I$6:$I$55,MATCH(A6,ExAnte!$A$6:$A$55,0))),INDEX(ExAnte!$I$6:$I$55,MATCH(A6,ExAnte!$A$6:$A$55,0)),""),""),IF(F6="EP",IF(COUNTIF(ExPost!$A$6:$A$55,A6)=1,IF(ISNUMBER(INDEX(ExPost!$I$6:$I$55,MATCH(A6,ExPost!$A$6:$A$55,0))),INDEX(ExPost!$I$6:$I$55,MATCH(A6,ExPost!$A$6:$A$55,0)),""),""),"")))</x:f>
      </x:c>
      <x:c r="E6" s="41" t="str">
        <x:f>IF(COUNT(C6:D6)=2,IF(C6&gt;=0,C6*D6,""),"")</x:f>
      </x:c>
      <x:c r="F6" s="36"/>
      <x:c r="G6" s="41" t="str">
        <x:f>IF(A6="","",SUMIFS($C$6:$C$155,$A$6:$A$155,A6,$F$6:$F$155,F6))</x:f>
      </x:c>
      <x:c r="H6" s="41" t="str">
        <x:f>IF(A6="","",SUMIFS($E$6:$E$155,$A$6:$A$155,A6,$F$6:$F$155,F6))</x:f>
      </x:c>
      <x:c r="I6" s="41" t="str">
        <x:f>IF(COUNT(D6,H6)=2,H6-D6,"")</x:f>
      </x:c>
      <x:c r="J6" s="41" t="str">
        <x:f>IF(A6="","","ALLOCATION - NOT OBSERVATION")</x:f>
      </x:c>
      <x:c r="K6" s="36"/>
      <x:c r="L6" s="41" t="str">
        <x:f>IF(A6="","",IF(AND(ISNUMBER(E6),K6&lt;&gt;"",ABS(G6-1)&lt;=Profile!$B$18,ABS(I6)&lt;=Profile!$B$18),"ARITHMETIC MATCH","HOLD: WEIGHTS / INPUT"))</x:f>
      </x:c>
    </x:row>
    <x:row r="7" ht="23" customHeight="1">
      <x:c r="A7" s="38"/>
      <x:c r="B7" s="36"/>
      <x:c r="C7" s="36"/>
      <x:c r="D7" s="41" t="str">
        <x:f>IF(A7="","",IF(F7="EA",IF(COUNTIF(ExAnte!$A$6:$A$55,A7)=1,IF(ISNUMBER(INDEX(ExAnte!$I$6:$I$55,MATCH(A7,ExAnte!$A$6:$A$55,0))),INDEX(ExAnte!$I$6:$I$55,MATCH(A7,ExAnte!$A$6:$A$55,0)),""),""),IF(F7="EP",IF(COUNTIF(ExPost!$A$6:$A$55,A7)=1,IF(ISNUMBER(INDEX(ExPost!$I$6:$I$55,MATCH(A7,ExPost!$A$6:$A$55,0))),INDEX(ExPost!$I$6:$I$55,MATCH(A7,ExPost!$A$6:$A$55,0)),""),""),"")))</x:f>
      </x:c>
      <x:c r="E7" s="41" t="str">
        <x:f>IF(COUNT(C7:D7)=2,IF(C7&gt;=0,C7*D7,""),"")</x:f>
      </x:c>
      <x:c r="F7" s="36"/>
      <x:c r="G7" s="41" t="str">
        <x:f>IF(A7="","",SUMIFS($C$6:$C$155,$A$6:$A$155,A7,$F$6:$F$155,F7))</x:f>
      </x:c>
      <x:c r="H7" s="41" t="str">
        <x:f>IF(A7="","",SUMIFS($E$6:$E$155,$A$6:$A$155,A7,$F$6:$F$155,F7))</x:f>
      </x:c>
      <x:c r="I7" s="41" t="str">
        <x:f>IF(COUNT(D7,H7)=2,H7-D7,"")</x:f>
      </x:c>
      <x:c r="J7" s="41" t="str">
        <x:f>IF(A7="","","ALLOCATION - NOT OBSERVATION")</x:f>
      </x:c>
      <x:c r="K7" s="36"/>
      <x:c r="L7" s="41" t="str">
        <x:f>IF(A7="","",IF(AND(ISNUMBER(E7),K7&lt;&gt;"",ABS(G7-1)&lt;=Profile!$B$18,ABS(I7)&lt;=Profile!$B$18),"ARITHMETIC MATCH","HOLD: WEIGHTS / INPUT"))</x:f>
      </x:c>
    </x:row>
    <x:row r="8" ht="23" customHeight="1">
      <x:c r="A8" s="38"/>
      <x:c r="B8" s="36"/>
      <x:c r="C8" s="36"/>
      <x:c r="D8" s="41" t="str">
        <x:f>IF(A8="","",IF(F8="EA",IF(COUNTIF(ExAnte!$A$6:$A$55,A8)=1,IF(ISNUMBER(INDEX(ExAnte!$I$6:$I$55,MATCH(A8,ExAnte!$A$6:$A$55,0))),INDEX(ExAnte!$I$6:$I$55,MATCH(A8,ExAnte!$A$6:$A$55,0)),""),""),IF(F8="EP",IF(COUNTIF(ExPost!$A$6:$A$55,A8)=1,IF(ISNUMBER(INDEX(ExPost!$I$6:$I$55,MATCH(A8,ExPost!$A$6:$A$55,0))),INDEX(ExPost!$I$6:$I$55,MATCH(A8,ExPost!$A$6:$A$55,0)),""),""),"")))</x:f>
      </x:c>
      <x:c r="E8" s="41" t="str">
        <x:f>IF(COUNT(C8:D8)=2,IF(C8&gt;=0,C8*D8,""),"")</x:f>
      </x:c>
      <x:c r="F8" s="36"/>
      <x:c r="G8" s="41" t="str">
        <x:f>IF(A8="","",SUMIFS($C$6:$C$155,$A$6:$A$155,A8,$F$6:$F$155,F8))</x:f>
      </x:c>
      <x:c r="H8" s="41" t="str">
        <x:f>IF(A8="","",SUMIFS($E$6:$E$155,$A$6:$A$155,A8,$F$6:$F$155,F8))</x:f>
      </x:c>
      <x:c r="I8" s="41" t="str">
        <x:f>IF(COUNT(D8,H8)=2,H8-D8,"")</x:f>
      </x:c>
      <x:c r="J8" s="41" t="str">
        <x:f>IF(A8="","","ALLOCATION - NOT OBSERVATION")</x:f>
      </x:c>
      <x:c r="K8" s="36"/>
      <x:c r="L8" s="41" t="str">
        <x:f>IF(A8="","",IF(AND(ISNUMBER(E8),K8&lt;&gt;"",ABS(G8-1)&lt;=Profile!$B$18,ABS(I8)&lt;=Profile!$B$18),"ARITHMETIC MATCH","HOLD: WEIGHTS / INPUT"))</x:f>
      </x:c>
    </x:row>
    <x:row r="9" ht="23" customHeight="1">
      <x:c r="A9" s="38"/>
      <x:c r="B9" s="36"/>
      <x:c r="C9" s="36"/>
      <x:c r="D9" s="41" t="str">
        <x:f>IF(A9="","",IF(F9="EA",IF(COUNTIF(ExAnte!$A$6:$A$55,A9)=1,IF(ISNUMBER(INDEX(ExAnte!$I$6:$I$55,MATCH(A9,ExAnte!$A$6:$A$55,0))),INDEX(ExAnte!$I$6:$I$55,MATCH(A9,ExAnte!$A$6:$A$55,0)),""),""),IF(F9="EP",IF(COUNTIF(ExPost!$A$6:$A$55,A9)=1,IF(ISNUMBER(INDEX(ExPost!$I$6:$I$55,MATCH(A9,ExPost!$A$6:$A$55,0))),INDEX(ExPost!$I$6:$I$55,MATCH(A9,ExPost!$A$6:$A$55,0)),""),""),"")))</x:f>
      </x:c>
      <x:c r="E9" s="41" t="str">
        <x:f>IF(COUNT(C9:D9)=2,IF(C9&gt;=0,C9*D9,""),"")</x:f>
      </x:c>
      <x:c r="F9" s="36"/>
      <x:c r="G9" s="41" t="str">
        <x:f>IF(A9="","",SUMIFS($C$6:$C$155,$A$6:$A$155,A9,$F$6:$F$155,F9))</x:f>
      </x:c>
      <x:c r="H9" s="41" t="str">
        <x:f>IF(A9="","",SUMIFS($E$6:$E$155,$A$6:$A$155,A9,$F$6:$F$155,F9))</x:f>
      </x:c>
      <x:c r="I9" s="41" t="str">
        <x:f>IF(COUNT(D9,H9)=2,H9-D9,"")</x:f>
      </x:c>
      <x:c r="J9" s="41" t="str">
        <x:f>IF(A9="","","ALLOCATION - NOT OBSERVATION")</x:f>
      </x:c>
      <x:c r="K9" s="36"/>
      <x:c r="L9" s="41" t="str">
        <x:f>IF(A9="","",IF(AND(ISNUMBER(E9),K9&lt;&gt;"",ABS(G9-1)&lt;=Profile!$B$18,ABS(I9)&lt;=Profile!$B$18),"ARITHMETIC MATCH","HOLD: WEIGHTS / INPUT"))</x:f>
      </x:c>
    </x:row>
    <x:row r="10" ht="23" customHeight="1">
      <x:c r="A10" s="38"/>
      <x:c r="B10" s="36"/>
      <x:c r="C10" s="36"/>
      <x:c r="D10" s="41" t="str">
        <x:f>IF(A10="","",IF(F10="EA",IF(COUNTIF(ExAnte!$A$6:$A$55,A10)=1,IF(ISNUMBER(INDEX(ExAnte!$I$6:$I$55,MATCH(A10,ExAnte!$A$6:$A$55,0))),INDEX(ExAnte!$I$6:$I$55,MATCH(A10,ExAnte!$A$6:$A$55,0)),""),""),IF(F10="EP",IF(COUNTIF(ExPost!$A$6:$A$55,A10)=1,IF(ISNUMBER(INDEX(ExPost!$I$6:$I$55,MATCH(A10,ExPost!$A$6:$A$55,0))),INDEX(ExPost!$I$6:$I$55,MATCH(A10,ExPost!$A$6:$A$55,0)),""),""),"")))</x:f>
      </x:c>
      <x:c r="E10" s="41" t="str">
        <x:f>IF(COUNT(C10:D10)=2,IF(C10&gt;=0,C10*D10,""),"")</x:f>
      </x:c>
      <x:c r="F10" s="36"/>
      <x:c r="G10" s="41" t="str">
        <x:f>IF(A10="","",SUMIFS($C$6:$C$155,$A$6:$A$155,A10,$F$6:$F$155,F10))</x:f>
      </x:c>
      <x:c r="H10" s="41" t="str">
        <x:f>IF(A10="","",SUMIFS($E$6:$E$155,$A$6:$A$155,A10,$F$6:$F$155,F10))</x:f>
      </x:c>
      <x:c r="I10" s="41" t="str">
        <x:f>IF(COUNT(D10,H10)=2,H10-D10,"")</x:f>
      </x:c>
      <x:c r="J10" s="41" t="str">
        <x:f>IF(A10="","","ALLOCATION - NOT OBSERVATION")</x:f>
      </x:c>
      <x:c r="K10" s="36"/>
      <x:c r="L10" s="41" t="str">
        <x:f>IF(A10="","",IF(AND(ISNUMBER(E10),K10&lt;&gt;"",ABS(G10-1)&lt;=Profile!$B$18,ABS(I10)&lt;=Profile!$B$18),"ARITHMETIC MATCH","HOLD: WEIGHTS / INPUT"))</x:f>
      </x:c>
    </x:row>
    <x:row r="11" ht="23" customHeight="1">
      <x:c r="A11" s="38"/>
      <x:c r="B11" s="36"/>
      <x:c r="C11" s="36"/>
      <x:c r="D11" s="41" t="str">
        <x:f>IF(A11="","",IF(F11="EA",IF(COUNTIF(ExAnte!$A$6:$A$55,A11)=1,IF(ISNUMBER(INDEX(ExAnte!$I$6:$I$55,MATCH(A11,ExAnte!$A$6:$A$55,0))),INDEX(ExAnte!$I$6:$I$55,MATCH(A11,ExAnte!$A$6:$A$55,0)),""),""),IF(F11="EP",IF(COUNTIF(ExPost!$A$6:$A$55,A11)=1,IF(ISNUMBER(INDEX(ExPost!$I$6:$I$55,MATCH(A11,ExPost!$A$6:$A$55,0))),INDEX(ExPost!$I$6:$I$55,MATCH(A11,ExPost!$A$6:$A$55,0)),""),""),"")))</x:f>
      </x:c>
      <x:c r="E11" s="41" t="str">
        <x:f>IF(COUNT(C11:D11)=2,IF(C11&gt;=0,C11*D11,""),"")</x:f>
      </x:c>
      <x:c r="F11" s="36"/>
      <x:c r="G11" s="41" t="str">
        <x:f>IF(A11="","",SUMIFS($C$6:$C$155,$A$6:$A$155,A11,$F$6:$F$155,F11))</x:f>
      </x:c>
      <x:c r="H11" s="41" t="str">
        <x:f>IF(A11="","",SUMIFS($E$6:$E$155,$A$6:$A$155,A11,$F$6:$F$155,F11))</x:f>
      </x:c>
      <x:c r="I11" s="41" t="str">
        <x:f>IF(COUNT(D11,H11)=2,H11-D11,"")</x:f>
      </x:c>
      <x:c r="J11" s="41" t="str">
        <x:f>IF(A11="","","ALLOCATION - NOT OBSERVATION")</x:f>
      </x:c>
      <x:c r="K11" s="36"/>
      <x:c r="L11" s="41" t="str">
        <x:f>IF(A11="","",IF(AND(ISNUMBER(E11),K11&lt;&gt;"",ABS(G11-1)&lt;=Profile!$B$18,ABS(I11)&lt;=Profile!$B$18),"ARITHMETIC MATCH","HOLD: WEIGHTS / INPUT"))</x:f>
      </x:c>
    </x:row>
    <x:row r="12" ht="23" customHeight="1">
      <x:c r="A12" s="38"/>
      <x:c r="B12" s="36"/>
      <x:c r="C12" s="36"/>
      <x:c r="D12" s="41" t="str">
        <x:f>IF(A12="","",IF(F12="EA",IF(COUNTIF(ExAnte!$A$6:$A$55,A12)=1,IF(ISNUMBER(INDEX(ExAnte!$I$6:$I$55,MATCH(A12,ExAnte!$A$6:$A$55,0))),INDEX(ExAnte!$I$6:$I$55,MATCH(A12,ExAnte!$A$6:$A$55,0)),""),""),IF(F12="EP",IF(COUNTIF(ExPost!$A$6:$A$55,A12)=1,IF(ISNUMBER(INDEX(ExPost!$I$6:$I$55,MATCH(A12,ExPost!$A$6:$A$55,0))),INDEX(ExPost!$I$6:$I$55,MATCH(A12,ExPost!$A$6:$A$55,0)),""),""),"")))</x:f>
      </x:c>
      <x:c r="E12" s="41" t="str">
        <x:f>IF(COUNT(C12:D12)=2,IF(C12&gt;=0,C12*D12,""),"")</x:f>
      </x:c>
      <x:c r="F12" s="36"/>
      <x:c r="G12" s="41" t="str">
        <x:f>IF(A12="","",SUMIFS($C$6:$C$155,$A$6:$A$155,A12,$F$6:$F$155,F12))</x:f>
      </x:c>
      <x:c r="H12" s="41" t="str">
        <x:f>IF(A12="","",SUMIFS($E$6:$E$155,$A$6:$A$155,A12,$F$6:$F$155,F12))</x:f>
      </x:c>
      <x:c r="I12" s="41" t="str">
        <x:f>IF(COUNT(D12,H12)=2,H12-D12,"")</x:f>
      </x:c>
      <x:c r="J12" s="41" t="str">
        <x:f>IF(A12="","","ALLOCATION - NOT OBSERVATION")</x:f>
      </x:c>
      <x:c r="K12" s="36"/>
      <x:c r="L12" s="41" t="str">
        <x:f>IF(A12="","",IF(AND(ISNUMBER(E12),K12&lt;&gt;"",ABS(G12-1)&lt;=Profile!$B$18,ABS(I12)&lt;=Profile!$B$18),"ARITHMETIC MATCH","HOLD: WEIGHTS / INPUT"))</x:f>
      </x:c>
    </x:row>
    <x:row r="13" ht="23" customHeight="1">
      <x:c r="A13" s="38"/>
      <x:c r="B13" s="36"/>
      <x:c r="C13" s="36"/>
      <x:c r="D13" s="41" t="str">
        <x:f>IF(A13="","",IF(F13="EA",IF(COUNTIF(ExAnte!$A$6:$A$55,A13)=1,IF(ISNUMBER(INDEX(ExAnte!$I$6:$I$55,MATCH(A13,ExAnte!$A$6:$A$55,0))),INDEX(ExAnte!$I$6:$I$55,MATCH(A13,ExAnte!$A$6:$A$55,0)),""),""),IF(F13="EP",IF(COUNTIF(ExPost!$A$6:$A$55,A13)=1,IF(ISNUMBER(INDEX(ExPost!$I$6:$I$55,MATCH(A13,ExPost!$A$6:$A$55,0))),INDEX(ExPost!$I$6:$I$55,MATCH(A13,ExPost!$A$6:$A$55,0)),""),""),"")))</x:f>
      </x:c>
      <x:c r="E13" s="41" t="str">
        <x:f>IF(COUNT(C13:D13)=2,IF(C13&gt;=0,C13*D13,""),"")</x:f>
      </x:c>
      <x:c r="F13" s="36"/>
      <x:c r="G13" s="41" t="str">
        <x:f>IF(A13="","",SUMIFS($C$6:$C$155,$A$6:$A$155,A13,$F$6:$F$155,F13))</x:f>
      </x:c>
      <x:c r="H13" s="41" t="str">
        <x:f>IF(A13="","",SUMIFS($E$6:$E$155,$A$6:$A$155,A13,$F$6:$F$155,F13))</x:f>
      </x:c>
      <x:c r="I13" s="41" t="str">
        <x:f>IF(COUNT(D13,H13)=2,H13-D13,"")</x:f>
      </x:c>
      <x:c r="J13" s="41" t="str">
        <x:f>IF(A13="","","ALLOCATION - NOT OBSERVATION")</x:f>
      </x:c>
      <x:c r="K13" s="36"/>
      <x:c r="L13" s="41" t="str">
        <x:f>IF(A13="","",IF(AND(ISNUMBER(E13),K13&lt;&gt;"",ABS(G13-1)&lt;=Profile!$B$18,ABS(I13)&lt;=Profile!$B$18),"ARITHMETIC MATCH","HOLD: WEIGHTS / INPUT"))</x:f>
      </x:c>
    </x:row>
    <x:row r="14" ht="23" customHeight="1">
      <x:c r="A14" s="38"/>
      <x:c r="B14" s="36"/>
      <x:c r="C14" s="36"/>
      <x:c r="D14" s="41" t="str">
        <x:f>IF(A14="","",IF(F14="EA",IF(COUNTIF(ExAnte!$A$6:$A$55,A14)=1,IF(ISNUMBER(INDEX(ExAnte!$I$6:$I$55,MATCH(A14,ExAnte!$A$6:$A$55,0))),INDEX(ExAnte!$I$6:$I$55,MATCH(A14,ExAnte!$A$6:$A$55,0)),""),""),IF(F14="EP",IF(COUNTIF(ExPost!$A$6:$A$55,A14)=1,IF(ISNUMBER(INDEX(ExPost!$I$6:$I$55,MATCH(A14,ExPost!$A$6:$A$55,0))),INDEX(ExPost!$I$6:$I$55,MATCH(A14,ExPost!$A$6:$A$55,0)),""),""),"")))</x:f>
      </x:c>
      <x:c r="E14" s="41" t="str">
        <x:f>IF(COUNT(C14:D14)=2,IF(C14&gt;=0,C14*D14,""),"")</x:f>
      </x:c>
      <x:c r="F14" s="36"/>
      <x:c r="G14" s="41" t="str">
        <x:f>IF(A14="","",SUMIFS($C$6:$C$155,$A$6:$A$155,A14,$F$6:$F$155,F14))</x:f>
      </x:c>
      <x:c r="H14" s="41" t="str">
        <x:f>IF(A14="","",SUMIFS($E$6:$E$155,$A$6:$A$155,A14,$F$6:$F$155,F14))</x:f>
      </x:c>
      <x:c r="I14" s="41" t="str">
        <x:f>IF(COUNT(D14,H14)=2,H14-D14,"")</x:f>
      </x:c>
      <x:c r="J14" s="41" t="str">
        <x:f>IF(A14="","","ALLOCATION - NOT OBSERVATION")</x:f>
      </x:c>
      <x:c r="K14" s="36"/>
      <x:c r="L14" s="41" t="str">
        <x:f>IF(A14="","",IF(AND(ISNUMBER(E14),K14&lt;&gt;"",ABS(G14-1)&lt;=Profile!$B$18,ABS(I14)&lt;=Profile!$B$18),"ARITHMETIC MATCH","HOLD: WEIGHTS / INPUT"))</x:f>
      </x:c>
    </x:row>
    <x:row r="15" ht="23" customHeight="1">
      <x:c r="A15" s="38"/>
      <x:c r="B15" s="36"/>
      <x:c r="C15" s="36"/>
      <x:c r="D15" s="41" t="str">
        <x:f>IF(A15="","",IF(F15="EA",IF(COUNTIF(ExAnte!$A$6:$A$55,A15)=1,IF(ISNUMBER(INDEX(ExAnte!$I$6:$I$55,MATCH(A15,ExAnte!$A$6:$A$55,0))),INDEX(ExAnte!$I$6:$I$55,MATCH(A15,ExAnte!$A$6:$A$55,0)),""),""),IF(F15="EP",IF(COUNTIF(ExPost!$A$6:$A$55,A15)=1,IF(ISNUMBER(INDEX(ExPost!$I$6:$I$55,MATCH(A15,ExPost!$A$6:$A$55,0))),INDEX(ExPost!$I$6:$I$55,MATCH(A15,ExPost!$A$6:$A$55,0)),""),""),"")))</x:f>
      </x:c>
      <x:c r="E15" s="41" t="str">
        <x:f>IF(COUNT(C15:D15)=2,IF(C15&gt;=0,C15*D15,""),"")</x:f>
      </x:c>
      <x:c r="F15" s="36"/>
      <x:c r="G15" s="41" t="str">
        <x:f>IF(A15="","",SUMIFS($C$6:$C$155,$A$6:$A$155,A15,$F$6:$F$155,F15))</x:f>
      </x:c>
      <x:c r="H15" s="41" t="str">
        <x:f>IF(A15="","",SUMIFS($E$6:$E$155,$A$6:$A$155,A15,$F$6:$F$155,F15))</x:f>
      </x:c>
      <x:c r="I15" s="41" t="str">
        <x:f>IF(COUNT(D15,H15)=2,H15-D15,"")</x:f>
      </x:c>
      <x:c r="J15" s="41" t="str">
        <x:f>IF(A15="","","ALLOCATION - NOT OBSERVATION")</x:f>
      </x:c>
      <x:c r="K15" s="36"/>
      <x:c r="L15" s="41" t="str">
        <x:f>IF(A15="","",IF(AND(ISNUMBER(E15),K15&lt;&gt;"",ABS(G15-1)&lt;=Profile!$B$18,ABS(I15)&lt;=Profile!$B$18),"ARITHMETIC MATCH","HOLD: WEIGHTS / INPUT"))</x:f>
      </x:c>
    </x:row>
    <x:row r="16" ht="23" customHeight="1">
      <x:c r="A16" s="38"/>
      <x:c r="B16" s="36"/>
      <x:c r="C16" s="36"/>
      <x:c r="D16" s="41" t="str">
        <x:f>IF(A16="","",IF(F16="EA",IF(COUNTIF(ExAnte!$A$6:$A$55,A16)=1,IF(ISNUMBER(INDEX(ExAnte!$I$6:$I$55,MATCH(A16,ExAnte!$A$6:$A$55,0))),INDEX(ExAnte!$I$6:$I$55,MATCH(A16,ExAnte!$A$6:$A$55,0)),""),""),IF(F16="EP",IF(COUNTIF(ExPost!$A$6:$A$55,A16)=1,IF(ISNUMBER(INDEX(ExPost!$I$6:$I$55,MATCH(A16,ExPost!$A$6:$A$55,0))),INDEX(ExPost!$I$6:$I$55,MATCH(A16,ExPost!$A$6:$A$55,0)),""),""),"")))</x:f>
      </x:c>
      <x:c r="E16" s="41" t="str">
        <x:f>IF(COUNT(C16:D16)=2,IF(C16&gt;=0,C16*D16,""),"")</x:f>
      </x:c>
      <x:c r="F16" s="36"/>
      <x:c r="G16" s="41" t="str">
        <x:f>IF(A16="","",SUMIFS($C$6:$C$155,$A$6:$A$155,A16,$F$6:$F$155,F16))</x:f>
      </x:c>
      <x:c r="H16" s="41" t="str">
        <x:f>IF(A16="","",SUMIFS($E$6:$E$155,$A$6:$A$155,A16,$F$6:$F$155,F16))</x:f>
      </x:c>
      <x:c r="I16" s="41" t="str">
        <x:f>IF(COUNT(D16,H16)=2,H16-D16,"")</x:f>
      </x:c>
      <x:c r="J16" s="41" t="str">
        <x:f>IF(A16="","","ALLOCATION - NOT OBSERVATION")</x:f>
      </x:c>
      <x:c r="K16" s="36"/>
      <x:c r="L16" s="41" t="str">
        <x:f>IF(A16="","",IF(AND(ISNUMBER(E16),K16&lt;&gt;"",ABS(G16-1)&lt;=Profile!$B$18,ABS(I16)&lt;=Profile!$B$18),"ARITHMETIC MATCH","HOLD: WEIGHTS / INPUT"))</x:f>
      </x:c>
    </x:row>
    <x:row r="17" ht="23" customHeight="1">
      <x:c r="A17" s="38"/>
      <x:c r="B17" s="36"/>
      <x:c r="C17" s="36"/>
      <x:c r="D17" s="41" t="str">
        <x:f>IF(A17="","",IF(F17="EA",IF(COUNTIF(ExAnte!$A$6:$A$55,A17)=1,IF(ISNUMBER(INDEX(ExAnte!$I$6:$I$55,MATCH(A17,ExAnte!$A$6:$A$55,0))),INDEX(ExAnte!$I$6:$I$55,MATCH(A17,ExAnte!$A$6:$A$55,0)),""),""),IF(F17="EP",IF(COUNTIF(ExPost!$A$6:$A$55,A17)=1,IF(ISNUMBER(INDEX(ExPost!$I$6:$I$55,MATCH(A17,ExPost!$A$6:$A$55,0))),INDEX(ExPost!$I$6:$I$55,MATCH(A17,ExPost!$A$6:$A$55,0)),""),""),"")))</x:f>
      </x:c>
      <x:c r="E17" s="41" t="str">
        <x:f>IF(COUNT(C17:D17)=2,IF(C17&gt;=0,C17*D17,""),"")</x:f>
      </x:c>
      <x:c r="F17" s="36"/>
      <x:c r="G17" s="41" t="str">
        <x:f>IF(A17="","",SUMIFS($C$6:$C$155,$A$6:$A$155,A17,$F$6:$F$155,F17))</x:f>
      </x:c>
      <x:c r="H17" s="41" t="str">
        <x:f>IF(A17="","",SUMIFS($E$6:$E$155,$A$6:$A$155,A17,$F$6:$F$155,F17))</x:f>
      </x:c>
      <x:c r="I17" s="41" t="str">
        <x:f>IF(COUNT(D17,H17)=2,H17-D17,"")</x:f>
      </x:c>
      <x:c r="J17" s="41" t="str">
        <x:f>IF(A17="","","ALLOCATION - NOT OBSERVATION")</x:f>
      </x:c>
      <x:c r="K17" s="36"/>
      <x:c r="L17" s="41" t="str">
        <x:f>IF(A17="","",IF(AND(ISNUMBER(E17),K17&lt;&gt;"",ABS(G17-1)&lt;=Profile!$B$18,ABS(I17)&lt;=Profile!$B$18),"ARITHMETIC MATCH","HOLD: WEIGHTS / INPUT"))</x:f>
      </x:c>
    </x:row>
    <x:row r="18" ht="23" customHeight="1">
      <x:c r="A18" s="38"/>
      <x:c r="B18" s="36"/>
      <x:c r="C18" s="36"/>
      <x:c r="D18" s="41" t="str">
        <x:f>IF(A18="","",IF(F18="EA",IF(COUNTIF(ExAnte!$A$6:$A$55,A18)=1,IF(ISNUMBER(INDEX(ExAnte!$I$6:$I$55,MATCH(A18,ExAnte!$A$6:$A$55,0))),INDEX(ExAnte!$I$6:$I$55,MATCH(A18,ExAnte!$A$6:$A$55,0)),""),""),IF(F18="EP",IF(COUNTIF(ExPost!$A$6:$A$55,A18)=1,IF(ISNUMBER(INDEX(ExPost!$I$6:$I$55,MATCH(A18,ExPost!$A$6:$A$55,0))),INDEX(ExPost!$I$6:$I$55,MATCH(A18,ExPost!$A$6:$A$55,0)),""),""),"")))</x:f>
      </x:c>
      <x:c r="E18" s="41" t="str">
        <x:f>IF(COUNT(C18:D18)=2,IF(C18&gt;=0,C18*D18,""),"")</x:f>
      </x:c>
      <x:c r="F18" s="36"/>
      <x:c r="G18" s="41" t="str">
        <x:f>IF(A18="","",SUMIFS($C$6:$C$155,$A$6:$A$155,A18,$F$6:$F$155,F18))</x:f>
      </x:c>
      <x:c r="H18" s="41" t="str">
        <x:f>IF(A18="","",SUMIFS($E$6:$E$155,$A$6:$A$155,A18,$F$6:$F$155,F18))</x:f>
      </x:c>
      <x:c r="I18" s="41" t="str">
        <x:f>IF(COUNT(D18,H18)=2,H18-D18,"")</x:f>
      </x:c>
      <x:c r="J18" s="41" t="str">
        <x:f>IF(A18="","","ALLOCATION - NOT OBSERVATION")</x:f>
      </x:c>
      <x:c r="K18" s="36"/>
      <x:c r="L18" s="41" t="str">
        <x:f>IF(A18="","",IF(AND(ISNUMBER(E18),K18&lt;&gt;"",ABS(G18-1)&lt;=Profile!$B$18,ABS(I18)&lt;=Profile!$B$18),"ARITHMETIC MATCH","HOLD: WEIGHTS / INPUT"))</x:f>
      </x:c>
    </x:row>
    <x:row r="19" ht="23" customHeight="1">
      <x:c r="A19" s="38"/>
      <x:c r="B19" s="36"/>
      <x:c r="C19" s="36"/>
      <x:c r="D19" s="41" t="str">
        <x:f>IF(A19="","",IF(F19="EA",IF(COUNTIF(ExAnte!$A$6:$A$55,A19)=1,IF(ISNUMBER(INDEX(ExAnte!$I$6:$I$55,MATCH(A19,ExAnte!$A$6:$A$55,0))),INDEX(ExAnte!$I$6:$I$55,MATCH(A19,ExAnte!$A$6:$A$55,0)),""),""),IF(F19="EP",IF(COUNTIF(ExPost!$A$6:$A$55,A19)=1,IF(ISNUMBER(INDEX(ExPost!$I$6:$I$55,MATCH(A19,ExPost!$A$6:$A$55,0))),INDEX(ExPost!$I$6:$I$55,MATCH(A19,ExPost!$A$6:$A$55,0)),""),""),"")))</x:f>
      </x:c>
      <x:c r="E19" s="41" t="str">
        <x:f>IF(COUNT(C19:D19)=2,IF(C19&gt;=0,C19*D19,""),"")</x:f>
      </x:c>
      <x:c r="F19" s="36"/>
      <x:c r="G19" s="41" t="str">
        <x:f>IF(A19="","",SUMIFS($C$6:$C$155,$A$6:$A$155,A19,$F$6:$F$155,F19))</x:f>
      </x:c>
      <x:c r="H19" s="41" t="str">
        <x:f>IF(A19="","",SUMIFS($E$6:$E$155,$A$6:$A$155,A19,$F$6:$F$155,F19))</x:f>
      </x:c>
      <x:c r="I19" s="41" t="str">
        <x:f>IF(COUNT(D19,H19)=2,H19-D19,"")</x:f>
      </x:c>
      <x:c r="J19" s="41" t="str">
        <x:f>IF(A19="","","ALLOCATION - NOT OBSERVATION")</x:f>
      </x:c>
      <x:c r="K19" s="36"/>
      <x:c r="L19" s="41" t="str">
        <x:f>IF(A19="","",IF(AND(ISNUMBER(E19),K19&lt;&gt;"",ABS(G19-1)&lt;=Profile!$B$18,ABS(I19)&lt;=Profile!$B$18),"ARITHMETIC MATCH","HOLD: WEIGHTS / INPUT"))</x:f>
      </x:c>
    </x:row>
    <x:row r="20" ht="23" customHeight="1">
      <x:c r="A20" s="38"/>
      <x:c r="B20" s="36"/>
      <x:c r="C20" s="36"/>
      <x:c r="D20" s="41" t="str">
        <x:f>IF(A20="","",IF(F20="EA",IF(COUNTIF(ExAnte!$A$6:$A$55,A20)=1,IF(ISNUMBER(INDEX(ExAnte!$I$6:$I$55,MATCH(A20,ExAnte!$A$6:$A$55,0))),INDEX(ExAnte!$I$6:$I$55,MATCH(A20,ExAnte!$A$6:$A$55,0)),""),""),IF(F20="EP",IF(COUNTIF(ExPost!$A$6:$A$55,A20)=1,IF(ISNUMBER(INDEX(ExPost!$I$6:$I$55,MATCH(A20,ExPost!$A$6:$A$55,0))),INDEX(ExPost!$I$6:$I$55,MATCH(A20,ExPost!$A$6:$A$55,0)),""),""),"")))</x:f>
      </x:c>
      <x:c r="E20" s="41" t="str">
        <x:f>IF(COUNT(C20:D20)=2,IF(C20&gt;=0,C20*D20,""),"")</x:f>
      </x:c>
      <x:c r="F20" s="36"/>
      <x:c r="G20" s="41" t="str">
        <x:f>IF(A20="","",SUMIFS($C$6:$C$155,$A$6:$A$155,A20,$F$6:$F$155,F20))</x:f>
      </x:c>
      <x:c r="H20" s="41" t="str">
        <x:f>IF(A20="","",SUMIFS($E$6:$E$155,$A$6:$A$155,A20,$F$6:$F$155,F20))</x:f>
      </x:c>
      <x:c r="I20" s="41" t="str">
        <x:f>IF(COUNT(D20,H20)=2,H20-D20,"")</x:f>
      </x:c>
      <x:c r="J20" s="41" t="str">
        <x:f>IF(A20="","","ALLOCATION - NOT OBSERVATION")</x:f>
      </x:c>
      <x:c r="K20" s="36"/>
      <x:c r="L20" s="41" t="str">
        <x:f>IF(A20="","",IF(AND(ISNUMBER(E20),K20&lt;&gt;"",ABS(G20-1)&lt;=Profile!$B$18,ABS(I20)&lt;=Profile!$B$18),"ARITHMETIC MATCH","HOLD: WEIGHTS / INPUT"))</x:f>
      </x:c>
    </x:row>
    <x:row r="21" ht="23" customHeight="1">
      <x:c r="A21" s="38"/>
      <x:c r="B21" s="36"/>
      <x:c r="C21" s="36"/>
      <x:c r="D21" s="41" t="str">
        <x:f>IF(A21="","",IF(F21="EA",IF(COUNTIF(ExAnte!$A$6:$A$55,A21)=1,IF(ISNUMBER(INDEX(ExAnte!$I$6:$I$55,MATCH(A21,ExAnte!$A$6:$A$55,0))),INDEX(ExAnte!$I$6:$I$55,MATCH(A21,ExAnte!$A$6:$A$55,0)),""),""),IF(F21="EP",IF(COUNTIF(ExPost!$A$6:$A$55,A21)=1,IF(ISNUMBER(INDEX(ExPost!$I$6:$I$55,MATCH(A21,ExPost!$A$6:$A$55,0))),INDEX(ExPost!$I$6:$I$55,MATCH(A21,ExPost!$A$6:$A$55,0)),""),""),"")))</x:f>
      </x:c>
      <x:c r="E21" s="41" t="str">
        <x:f>IF(COUNT(C21:D21)=2,IF(C21&gt;=0,C21*D21,""),"")</x:f>
      </x:c>
      <x:c r="F21" s="36"/>
      <x:c r="G21" s="41" t="str">
        <x:f>IF(A21="","",SUMIFS($C$6:$C$155,$A$6:$A$155,A21,$F$6:$F$155,F21))</x:f>
      </x:c>
      <x:c r="H21" s="41" t="str">
        <x:f>IF(A21="","",SUMIFS($E$6:$E$155,$A$6:$A$155,A21,$F$6:$F$155,F21))</x:f>
      </x:c>
      <x:c r="I21" s="41" t="str">
        <x:f>IF(COUNT(D21,H21)=2,H21-D21,"")</x:f>
      </x:c>
      <x:c r="J21" s="41" t="str">
        <x:f>IF(A21="","","ALLOCATION - NOT OBSERVATION")</x:f>
      </x:c>
      <x:c r="K21" s="36"/>
      <x:c r="L21" s="41" t="str">
        <x:f>IF(A21="","",IF(AND(ISNUMBER(E21),K21&lt;&gt;"",ABS(G21-1)&lt;=Profile!$B$18,ABS(I21)&lt;=Profile!$B$18),"ARITHMETIC MATCH","HOLD: WEIGHTS / INPUT"))</x:f>
      </x:c>
    </x:row>
    <x:row r="22" ht="23" customHeight="1">
      <x:c r="A22" s="38"/>
      <x:c r="B22" s="36"/>
      <x:c r="C22" s="36"/>
      <x:c r="D22" s="41" t="str">
        <x:f>IF(A22="","",IF(F22="EA",IF(COUNTIF(ExAnte!$A$6:$A$55,A22)=1,IF(ISNUMBER(INDEX(ExAnte!$I$6:$I$55,MATCH(A22,ExAnte!$A$6:$A$55,0))),INDEX(ExAnte!$I$6:$I$55,MATCH(A22,ExAnte!$A$6:$A$55,0)),""),""),IF(F22="EP",IF(COUNTIF(ExPost!$A$6:$A$55,A22)=1,IF(ISNUMBER(INDEX(ExPost!$I$6:$I$55,MATCH(A22,ExPost!$A$6:$A$55,0))),INDEX(ExPost!$I$6:$I$55,MATCH(A22,ExPost!$A$6:$A$55,0)),""),""),"")))</x:f>
      </x:c>
      <x:c r="E22" s="41" t="str">
        <x:f>IF(COUNT(C22:D22)=2,IF(C22&gt;=0,C22*D22,""),"")</x:f>
      </x:c>
      <x:c r="F22" s="36"/>
      <x:c r="G22" s="41" t="str">
        <x:f>IF(A22="","",SUMIFS($C$6:$C$155,$A$6:$A$155,A22,$F$6:$F$155,F22))</x:f>
      </x:c>
      <x:c r="H22" s="41" t="str">
        <x:f>IF(A22="","",SUMIFS($E$6:$E$155,$A$6:$A$155,A22,$F$6:$F$155,F22))</x:f>
      </x:c>
      <x:c r="I22" s="41" t="str">
        <x:f>IF(COUNT(D22,H22)=2,H22-D22,"")</x:f>
      </x:c>
      <x:c r="J22" s="41" t="str">
        <x:f>IF(A22="","","ALLOCATION - NOT OBSERVATION")</x:f>
      </x:c>
      <x:c r="K22" s="36"/>
      <x:c r="L22" s="41" t="str">
        <x:f>IF(A22="","",IF(AND(ISNUMBER(E22),K22&lt;&gt;"",ABS(G22-1)&lt;=Profile!$B$18,ABS(I22)&lt;=Profile!$B$18),"ARITHMETIC MATCH","HOLD: WEIGHTS / INPUT"))</x:f>
      </x:c>
    </x:row>
    <x:row r="23" ht="23" customHeight="1">
      <x:c r="A23" s="38"/>
      <x:c r="B23" s="36"/>
      <x:c r="C23" s="36"/>
      <x:c r="D23" s="41" t="str">
        <x:f>IF(A23="","",IF(F23="EA",IF(COUNTIF(ExAnte!$A$6:$A$55,A23)=1,IF(ISNUMBER(INDEX(ExAnte!$I$6:$I$55,MATCH(A23,ExAnte!$A$6:$A$55,0))),INDEX(ExAnte!$I$6:$I$55,MATCH(A23,ExAnte!$A$6:$A$55,0)),""),""),IF(F23="EP",IF(COUNTIF(ExPost!$A$6:$A$55,A23)=1,IF(ISNUMBER(INDEX(ExPost!$I$6:$I$55,MATCH(A23,ExPost!$A$6:$A$55,0))),INDEX(ExPost!$I$6:$I$55,MATCH(A23,ExPost!$A$6:$A$55,0)),""),""),"")))</x:f>
      </x:c>
      <x:c r="E23" s="41" t="str">
        <x:f>IF(COUNT(C23:D23)=2,IF(C23&gt;=0,C23*D23,""),"")</x:f>
      </x:c>
      <x:c r="F23" s="36"/>
      <x:c r="G23" s="41" t="str">
        <x:f>IF(A23="","",SUMIFS($C$6:$C$155,$A$6:$A$155,A23,$F$6:$F$155,F23))</x:f>
      </x:c>
      <x:c r="H23" s="41" t="str">
        <x:f>IF(A23="","",SUMIFS($E$6:$E$155,$A$6:$A$155,A23,$F$6:$F$155,F23))</x:f>
      </x:c>
      <x:c r="I23" s="41" t="str">
        <x:f>IF(COUNT(D23,H23)=2,H23-D23,"")</x:f>
      </x:c>
      <x:c r="J23" s="41" t="str">
        <x:f>IF(A23="","","ALLOCATION - NOT OBSERVATION")</x:f>
      </x:c>
      <x:c r="K23" s="36"/>
      <x:c r="L23" s="41" t="str">
        <x:f>IF(A23="","",IF(AND(ISNUMBER(E23),K23&lt;&gt;"",ABS(G23-1)&lt;=Profile!$B$18,ABS(I23)&lt;=Profile!$B$18),"ARITHMETIC MATCH","HOLD: WEIGHTS / INPUT"))</x:f>
      </x:c>
    </x:row>
    <x:row r="24" ht="23" customHeight="1">
      <x:c r="A24" s="38"/>
      <x:c r="B24" s="36"/>
      <x:c r="C24" s="36"/>
      <x:c r="D24" s="41" t="str">
        <x:f>IF(A24="","",IF(F24="EA",IF(COUNTIF(ExAnte!$A$6:$A$55,A24)=1,IF(ISNUMBER(INDEX(ExAnte!$I$6:$I$55,MATCH(A24,ExAnte!$A$6:$A$55,0))),INDEX(ExAnte!$I$6:$I$55,MATCH(A24,ExAnte!$A$6:$A$55,0)),""),""),IF(F24="EP",IF(COUNTIF(ExPost!$A$6:$A$55,A24)=1,IF(ISNUMBER(INDEX(ExPost!$I$6:$I$55,MATCH(A24,ExPost!$A$6:$A$55,0))),INDEX(ExPost!$I$6:$I$55,MATCH(A24,ExPost!$A$6:$A$55,0)),""),""),"")))</x:f>
      </x:c>
      <x:c r="E24" s="41" t="str">
        <x:f>IF(COUNT(C24:D24)=2,IF(C24&gt;=0,C24*D24,""),"")</x:f>
      </x:c>
      <x:c r="F24" s="36"/>
      <x:c r="G24" s="41" t="str">
        <x:f>IF(A24="","",SUMIFS($C$6:$C$155,$A$6:$A$155,A24,$F$6:$F$155,F24))</x:f>
      </x:c>
      <x:c r="H24" s="41" t="str">
        <x:f>IF(A24="","",SUMIFS($E$6:$E$155,$A$6:$A$155,A24,$F$6:$F$155,F24))</x:f>
      </x:c>
      <x:c r="I24" s="41" t="str">
        <x:f>IF(COUNT(D24,H24)=2,H24-D24,"")</x:f>
      </x:c>
      <x:c r="J24" s="41" t="str">
        <x:f>IF(A24="","","ALLOCATION - NOT OBSERVATION")</x:f>
      </x:c>
      <x:c r="K24" s="36"/>
      <x:c r="L24" s="41" t="str">
        <x:f>IF(A24="","",IF(AND(ISNUMBER(E24),K24&lt;&gt;"",ABS(G24-1)&lt;=Profile!$B$18,ABS(I24)&lt;=Profile!$B$18),"ARITHMETIC MATCH","HOLD: WEIGHTS / INPUT"))</x:f>
      </x:c>
    </x:row>
    <x:row r="25" ht="23" customHeight="1">
      <x:c r="A25" s="38"/>
      <x:c r="B25" s="36"/>
      <x:c r="C25" s="36"/>
      <x:c r="D25" s="41" t="str">
        <x:f>IF(A25="","",IF(F25="EA",IF(COUNTIF(ExAnte!$A$6:$A$55,A25)=1,IF(ISNUMBER(INDEX(ExAnte!$I$6:$I$55,MATCH(A25,ExAnte!$A$6:$A$55,0))),INDEX(ExAnte!$I$6:$I$55,MATCH(A25,ExAnte!$A$6:$A$55,0)),""),""),IF(F25="EP",IF(COUNTIF(ExPost!$A$6:$A$55,A25)=1,IF(ISNUMBER(INDEX(ExPost!$I$6:$I$55,MATCH(A25,ExPost!$A$6:$A$55,0))),INDEX(ExPost!$I$6:$I$55,MATCH(A25,ExPost!$A$6:$A$55,0)),""),""),"")))</x:f>
      </x:c>
      <x:c r="E25" s="41" t="str">
        <x:f>IF(COUNT(C25:D25)=2,IF(C25&gt;=0,C25*D25,""),"")</x:f>
      </x:c>
      <x:c r="F25" s="36"/>
      <x:c r="G25" s="41" t="str">
        <x:f>IF(A25="","",SUMIFS($C$6:$C$155,$A$6:$A$155,A25,$F$6:$F$155,F25))</x:f>
      </x:c>
      <x:c r="H25" s="41" t="str">
        <x:f>IF(A25="","",SUMIFS($E$6:$E$155,$A$6:$A$155,A25,$F$6:$F$155,F25))</x:f>
      </x:c>
      <x:c r="I25" s="41" t="str">
        <x:f>IF(COUNT(D25,H25)=2,H25-D25,"")</x:f>
      </x:c>
      <x:c r="J25" s="41" t="str">
        <x:f>IF(A25="","","ALLOCATION - NOT OBSERVATION")</x:f>
      </x:c>
      <x:c r="K25" s="36"/>
      <x:c r="L25" s="41" t="str">
        <x:f>IF(A25="","",IF(AND(ISNUMBER(E25),K25&lt;&gt;"",ABS(G25-1)&lt;=Profile!$B$18,ABS(I25)&lt;=Profile!$B$18),"ARITHMETIC MATCH","HOLD: WEIGHTS / INPUT"))</x:f>
      </x:c>
    </x:row>
    <x:row r="26" ht="23" customHeight="1">
      <x:c r="A26" s="38"/>
      <x:c r="B26" s="36"/>
      <x:c r="C26" s="36"/>
      <x:c r="D26" s="41" t="str">
        <x:f>IF(A26="","",IF(F26="EA",IF(COUNTIF(ExAnte!$A$6:$A$55,A26)=1,IF(ISNUMBER(INDEX(ExAnte!$I$6:$I$55,MATCH(A26,ExAnte!$A$6:$A$55,0))),INDEX(ExAnte!$I$6:$I$55,MATCH(A26,ExAnte!$A$6:$A$55,0)),""),""),IF(F26="EP",IF(COUNTIF(ExPost!$A$6:$A$55,A26)=1,IF(ISNUMBER(INDEX(ExPost!$I$6:$I$55,MATCH(A26,ExPost!$A$6:$A$55,0))),INDEX(ExPost!$I$6:$I$55,MATCH(A26,ExPost!$A$6:$A$55,0)),""),""),"")))</x:f>
      </x:c>
      <x:c r="E26" s="41" t="str">
        <x:f>IF(COUNT(C26:D26)=2,IF(C26&gt;=0,C26*D26,""),"")</x:f>
      </x:c>
      <x:c r="F26" s="36"/>
      <x:c r="G26" s="41" t="str">
        <x:f>IF(A26="","",SUMIFS($C$6:$C$155,$A$6:$A$155,A26,$F$6:$F$155,F26))</x:f>
      </x:c>
      <x:c r="H26" s="41" t="str">
        <x:f>IF(A26="","",SUMIFS($E$6:$E$155,$A$6:$A$155,A26,$F$6:$F$155,F26))</x:f>
      </x:c>
      <x:c r="I26" s="41" t="str">
        <x:f>IF(COUNT(D26,H26)=2,H26-D26,"")</x:f>
      </x:c>
      <x:c r="J26" s="41" t="str">
        <x:f>IF(A26="","","ALLOCATION - NOT OBSERVATION")</x:f>
      </x:c>
      <x:c r="K26" s="36"/>
      <x:c r="L26" s="41" t="str">
        <x:f>IF(A26="","",IF(AND(ISNUMBER(E26),K26&lt;&gt;"",ABS(G26-1)&lt;=Profile!$B$18,ABS(I26)&lt;=Profile!$B$18),"ARITHMETIC MATCH","HOLD: WEIGHTS / INPUT"))</x:f>
      </x:c>
    </x:row>
    <x:row r="27" ht="23" customHeight="1">
      <x:c r="A27" s="38"/>
      <x:c r="B27" s="36"/>
      <x:c r="C27" s="36"/>
      <x:c r="D27" s="41" t="str">
        <x:f>IF(A27="","",IF(F27="EA",IF(COUNTIF(ExAnte!$A$6:$A$55,A27)=1,IF(ISNUMBER(INDEX(ExAnte!$I$6:$I$55,MATCH(A27,ExAnte!$A$6:$A$55,0))),INDEX(ExAnte!$I$6:$I$55,MATCH(A27,ExAnte!$A$6:$A$55,0)),""),""),IF(F27="EP",IF(COUNTIF(ExPost!$A$6:$A$55,A27)=1,IF(ISNUMBER(INDEX(ExPost!$I$6:$I$55,MATCH(A27,ExPost!$A$6:$A$55,0))),INDEX(ExPost!$I$6:$I$55,MATCH(A27,ExPost!$A$6:$A$55,0)),""),""),"")))</x:f>
      </x:c>
      <x:c r="E27" s="41" t="str">
        <x:f>IF(COUNT(C27:D27)=2,IF(C27&gt;=0,C27*D27,""),"")</x:f>
      </x:c>
      <x:c r="F27" s="36"/>
      <x:c r="G27" s="41" t="str">
        <x:f>IF(A27="","",SUMIFS($C$6:$C$155,$A$6:$A$155,A27,$F$6:$F$155,F27))</x:f>
      </x:c>
      <x:c r="H27" s="41" t="str">
        <x:f>IF(A27="","",SUMIFS($E$6:$E$155,$A$6:$A$155,A27,$F$6:$F$155,F27))</x:f>
      </x:c>
      <x:c r="I27" s="41" t="str">
        <x:f>IF(COUNT(D27,H27)=2,H27-D27,"")</x:f>
      </x:c>
      <x:c r="J27" s="41" t="str">
        <x:f>IF(A27="","","ALLOCATION - NOT OBSERVATION")</x:f>
      </x:c>
      <x:c r="K27" s="36"/>
      <x:c r="L27" s="41" t="str">
        <x:f>IF(A27="","",IF(AND(ISNUMBER(E27),K27&lt;&gt;"",ABS(G27-1)&lt;=Profile!$B$18,ABS(I27)&lt;=Profile!$B$18),"ARITHMETIC MATCH","HOLD: WEIGHTS / INPUT"))</x:f>
      </x:c>
    </x:row>
    <x:row r="28" ht="23" customHeight="1">
      <x:c r="A28" s="38"/>
      <x:c r="B28" s="36"/>
      <x:c r="C28" s="36"/>
      <x:c r="D28" s="41" t="str">
        <x:f>IF(A28="","",IF(F28="EA",IF(COUNTIF(ExAnte!$A$6:$A$55,A28)=1,IF(ISNUMBER(INDEX(ExAnte!$I$6:$I$55,MATCH(A28,ExAnte!$A$6:$A$55,0))),INDEX(ExAnte!$I$6:$I$55,MATCH(A28,ExAnte!$A$6:$A$55,0)),""),""),IF(F28="EP",IF(COUNTIF(ExPost!$A$6:$A$55,A28)=1,IF(ISNUMBER(INDEX(ExPost!$I$6:$I$55,MATCH(A28,ExPost!$A$6:$A$55,0))),INDEX(ExPost!$I$6:$I$55,MATCH(A28,ExPost!$A$6:$A$55,0)),""),""),"")))</x:f>
      </x:c>
      <x:c r="E28" s="41" t="str">
        <x:f>IF(COUNT(C28:D28)=2,IF(C28&gt;=0,C28*D28,""),"")</x:f>
      </x:c>
      <x:c r="F28" s="36"/>
      <x:c r="G28" s="41" t="str">
        <x:f>IF(A28="","",SUMIFS($C$6:$C$155,$A$6:$A$155,A28,$F$6:$F$155,F28))</x:f>
      </x:c>
      <x:c r="H28" s="41" t="str">
        <x:f>IF(A28="","",SUMIFS($E$6:$E$155,$A$6:$A$155,A28,$F$6:$F$155,F28))</x:f>
      </x:c>
      <x:c r="I28" s="41" t="str">
        <x:f>IF(COUNT(D28,H28)=2,H28-D28,"")</x:f>
      </x:c>
      <x:c r="J28" s="41" t="str">
        <x:f>IF(A28="","","ALLOCATION - NOT OBSERVATION")</x:f>
      </x:c>
      <x:c r="K28" s="36"/>
      <x:c r="L28" s="41" t="str">
        <x:f>IF(A28="","",IF(AND(ISNUMBER(E28),K28&lt;&gt;"",ABS(G28-1)&lt;=Profile!$B$18,ABS(I28)&lt;=Profile!$B$18),"ARITHMETIC MATCH","HOLD: WEIGHTS / INPUT"))</x:f>
      </x:c>
    </x:row>
    <x:row r="29" ht="23" customHeight="1">
      <x:c r="A29" s="38"/>
      <x:c r="B29" s="36"/>
      <x:c r="C29" s="36"/>
      <x:c r="D29" s="41" t="str">
        <x:f>IF(A29="","",IF(F29="EA",IF(COUNTIF(ExAnte!$A$6:$A$55,A29)=1,IF(ISNUMBER(INDEX(ExAnte!$I$6:$I$55,MATCH(A29,ExAnte!$A$6:$A$55,0))),INDEX(ExAnte!$I$6:$I$55,MATCH(A29,ExAnte!$A$6:$A$55,0)),""),""),IF(F29="EP",IF(COUNTIF(ExPost!$A$6:$A$55,A29)=1,IF(ISNUMBER(INDEX(ExPost!$I$6:$I$55,MATCH(A29,ExPost!$A$6:$A$55,0))),INDEX(ExPost!$I$6:$I$55,MATCH(A29,ExPost!$A$6:$A$55,0)),""),""),"")))</x:f>
      </x:c>
      <x:c r="E29" s="41" t="str">
        <x:f>IF(COUNT(C29:D29)=2,IF(C29&gt;=0,C29*D29,""),"")</x:f>
      </x:c>
      <x:c r="F29" s="36"/>
      <x:c r="G29" s="41" t="str">
        <x:f>IF(A29="","",SUMIFS($C$6:$C$155,$A$6:$A$155,A29,$F$6:$F$155,F29))</x:f>
      </x:c>
      <x:c r="H29" s="41" t="str">
        <x:f>IF(A29="","",SUMIFS($E$6:$E$155,$A$6:$A$155,A29,$F$6:$F$155,F29))</x:f>
      </x:c>
      <x:c r="I29" s="41" t="str">
        <x:f>IF(COUNT(D29,H29)=2,H29-D29,"")</x:f>
      </x:c>
      <x:c r="J29" s="41" t="str">
        <x:f>IF(A29="","","ALLOCATION - NOT OBSERVATION")</x:f>
      </x:c>
      <x:c r="K29" s="36"/>
      <x:c r="L29" s="41" t="str">
        <x:f>IF(A29="","",IF(AND(ISNUMBER(E29),K29&lt;&gt;"",ABS(G29-1)&lt;=Profile!$B$18,ABS(I29)&lt;=Profile!$B$18),"ARITHMETIC MATCH","HOLD: WEIGHTS / INPUT"))</x:f>
      </x:c>
    </x:row>
    <x:row r="30" ht="23" customHeight="1">
      <x:c r="A30" s="38"/>
      <x:c r="B30" s="36"/>
      <x:c r="C30" s="36"/>
      <x:c r="D30" s="41" t="str">
        <x:f>IF(A30="","",IF(F30="EA",IF(COUNTIF(ExAnte!$A$6:$A$55,A30)=1,IF(ISNUMBER(INDEX(ExAnte!$I$6:$I$55,MATCH(A30,ExAnte!$A$6:$A$55,0))),INDEX(ExAnte!$I$6:$I$55,MATCH(A30,ExAnte!$A$6:$A$55,0)),""),""),IF(F30="EP",IF(COUNTIF(ExPost!$A$6:$A$55,A30)=1,IF(ISNUMBER(INDEX(ExPost!$I$6:$I$55,MATCH(A30,ExPost!$A$6:$A$55,0))),INDEX(ExPost!$I$6:$I$55,MATCH(A30,ExPost!$A$6:$A$55,0)),""),""),"")))</x:f>
      </x:c>
      <x:c r="E30" s="41" t="str">
        <x:f>IF(COUNT(C30:D30)=2,IF(C30&gt;=0,C30*D30,""),"")</x:f>
      </x:c>
      <x:c r="F30" s="36"/>
      <x:c r="G30" s="41" t="str">
        <x:f>IF(A30="","",SUMIFS($C$6:$C$155,$A$6:$A$155,A30,$F$6:$F$155,F30))</x:f>
      </x:c>
      <x:c r="H30" s="41" t="str">
        <x:f>IF(A30="","",SUMIFS($E$6:$E$155,$A$6:$A$155,A30,$F$6:$F$155,F30))</x:f>
      </x:c>
      <x:c r="I30" s="41" t="str">
        <x:f>IF(COUNT(D30,H30)=2,H30-D30,"")</x:f>
      </x:c>
      <x:c r="J30" s="41" t="str">
        <x:f>IF(A30="","","ALLOCATION - NOT OBSERVATION")</x:f>
      </x:c>
      <x:c r="K30" s="36"/>
      <x:c r="L30" s="41" t="str">
        <x:f>IF(A30="","",IF(AND(ISNUMBER(E30),K30&lt;&gt;"",ABS(G30-1)&lt;=Profile!$B$18,ABS(I30)&lt;=Profile!$B$18),"ARITHMETIC MATCH","HOLD: WEIGHTS / INPUT"))</x:f>
      </x:c>
    </x:row>
    <x:row r="31" ht="23" customHeight="1">
      <x:c r="A31" s="38"/>
      <x:c r="B31" s="36"/>
      <x:c r="C31" s="36"/>
      <x:c r="D31" s="41" t="str">
        <x:f>IF(A31="","",IF(F31="EA",IF(COUNTIF(ExAnte!$A$6:$A$55,A31)=1,IF(ISNUMBER(INDEX(ExAnte!$I$6:$I$55,MATCH(A31,ExAnte!$A$6:$A$55,0))),INDEX(ExAnte!$I$6:$I$55,MATCH(A31,ExAnte!$A$6:$A$55,0)),""),""),IF(F31="EP",IF(COUNTIF(ExPost!$A$6:$A$55,A31)=1,IF(ISNUMBER(INDEX(ExPost!$I$6:$I$55,MATCH(A31,ExPost!$A$6:$A$55,0))),INDEX(ExPost!$I$6:$I$55,MATCH(A31,ExPost!$A$6:$A$55,0)),""),""),"")))</x:f>
      </x:c>
      <x:c r="E31" s="41" t="str">
        <x:f>IF(COUNT(C31:D31)=2,IF(C31&gt;=0,C31*D31,""),"")</x:f>
      </x:c>
      <x:c r="F31" s="36"/>
      <x:c r="G31" s="41" t="str">
        <x:f>IF(A31="","",SUMIFS($C$6:$C$155,$A$6:$A$155,A31,$F$6:$F$155,F31))</x:f>
      </x:c>
      <x:c r="H31" s="41" t="str">
        <x:f>IF(A31="","",SUMIFS($E$6:$E$155,$A$6:$A$155,A31,$F$6:$F$155,F31))</x:f>
      </x:c>
      <x:c r="I31" s="41" t="str">
        <x:f>IF(COUNT(D31,H31)=2,H31-D31,"")</x:f>
      </x:c>
      <x:c r="J31" s="41" t="str">
        <x:f>IF(A31="","","ALLOCATION - NOT OBSERVATION")</x:f>
      </x:c>
      <x:c r="K31" s="36"/>
      <x:c r="L31" s="41" t="str">
        <x:f>IF(A31="","",IF(AND(ISNUMBER(E31),K31&lt;&gt;"",ABS(G31-1)&lt;=Profile!$B$18,ABS(I31)&lt;=Profile!$B$18),"ARITHMETIC MATCH","HOLD: WEIGHTS / INPUT"))</x:f>
      </x:c>
    </x:row>
    <x:row r="32" ht="23" customHeight="1">
      <x:c r="A32" s="38"/>
      <x:c r="B32" s="36"/>
      <x:c r="C32" s="36"/>
      <x:c r="D32" s="41" t="str">
        <x:f>IF(A32="","",IF(F32="EA",IF(COUNTIF(ExAnte!$A$6:$A$55,A32)=1,IF(ISNUMBER(INDEX(ExAnte!$I$6:$I$55,MATCH(A32,ExAnte!$A$6:$A$55,0))),INDEX(ExAnte!$I$6:$I$55,MATCH(A32,ExAnte!$A$6:$A$55,0)),""),""),IF(F32="EP",IF(COUNTIF(ExPost!$A$6:$A$55,A32)=1,IF(ISNUMBER(INDEX(ExPost!$I$6:$I$55,MATCH(A32,ExPost!$A$6:$A$55,0))),INDEX(ExPost!$I$6:$I$55,MATCH(A32,ExPost!$A$6:$A$55,0)),""),""),"")))</x:f>
      </x:c>
      <x:c r="E32" s="41" t="str">
        <x:f>IF(COUNT(C32:D32)=2,IF(C32&gt;=0,C32*D32,""),"")</x:f>
      </x:c>
      <x:c r="F32" s="36"/>
      <x:c r="G32" s="41" t="str">
        <x:f>IF(A32="","",SUMIFS($C$6:$C$155,$A$6:$A$155,A32,$F$6:$F$155,F32))</x:f>
      </x:c>
      <x:c r="H32" s="41" t="str">
        <x:f>IF(A32="","",SUMIFS($E$6:$E$155,$A$6:$A$155,A32,$F$6:$F$155,F32))</x:f>
      </x:c>
      <x:c r="I32" s="41" t="str">
        <x:f>IF(COUNT(D32,H32)=2,H32-D32,"")</x:f>
      </x:c>
      <x:c r="J32" s="41" t="str">
        <x:f>IF(A32="","","ALLOCATION - NOT OBSERVATION")</x:f>
      </x:c>
      <x:c r="K32" s="36"/>
      <x:c r="L32" s="41" t="str">
        <x:f>IF(A32="","",IF(AND(ISNUMBER(E32),K32&lt;&gt;"",ABS(G32-1)&lt;=Profile!$B$18,ABS(I32)&lt;=Profile!$B$18),"ARITHMETIC MATCH","HOLD: WEIGHTS / INPUT"))</x:f>
      </x:c>
    </x:row>
    <x:row r="33" ht="23" customHeight="1">
      <x:c r="A33" s="38"/>
      <x:c r="B33" s="36"/>
      <x:c r="C33" s="36"/>
      <x:c r="D33" s="41" t="str">
        <x:f>IF(A33="","",IF(F33="EA",IF(COUNTIF(ExAnte!$A$6:$A$55,A33)=1,IF(ISNUMBER(INDEX(ExAnte!$I$6:$I$55,MATCH(A33,ExAnte!$A$6:$A$55,0))),INDEX(ExAnte!$I$6:$I$55,MATCH(A33,ExAnte!$A$6:$A$55,0)),""),""),IF(F33="EP",IF(COUNTIF(ExPost!$A$6:$A$55,A33)=1,IF(ISNUMBER(INDEX(ExPost!$I$6:$I$55,MATCH(A33,ExPost!$A$6:$A$55,0))),INDEX(ExPost!$I$6:$I$55,MATCH(A33,ExPost!$A$6:$A$55,0)),""),""),"")))</x:f>
      </x:c>
      <x:c r="E33" s="41" t="str">
        <x:f>IF(COUNT(C33:D33)=2,IF(C33&gt;=0,C33*D33,""),"")</x:f>
      </x:c>
      <x:c r="F33" s="36"/>
      <x:c r="G33" s="41" t="str">
        <x:f>IF(A33="","",SUMIFS($C$6:$C$155,$A$6:$A$155,A33,$F$6:$F$155,F33))</x:f>
      </x:c>
      <x:c r="H33" s="41" t="str">
        <x:f>IF(A33="","",SUMIFS($E$6:$E$155,$A$6:$A$155,A33,$F$6:$F$155,F33))</x:f>
      </x:c>
      <x:c r="I33" s="41" t="str">
        <x:f>IF(COUNT(D33,H33)=2,H33-D33,"")</x:f>
      </x:c>
      <x:c r="J33" s="41" t="str">
        <x:f>IF(A33="","","ALLOCATION - NOT OBSERVATION")</x:f>
      </x:c>
      <x:c r="K33" s="36"/>
      <x:c r="L33" s="41" t="str">
        <x:f>IF(A33="","",IF(AND(ISNUMBER(E33),K33&lt;&gt;"",ABS(G33-1)&lt;=Profile!$B$18,ABS(I33)&lt;=Profile!$B$18),"ARITHMETIC MATCH","HOLD: WEIGHTS / INPUT"))</x:f>
      </x:c>
    </x:row>
    <x:row r="34" ht="23" customHeight="1">
      <x:c r="A34" s="38"/>
      <x:c r="B34" s="36"/>
      <x:c r="C34" s="36"/>
      <x:c r="D34" s="41" t="str">
        <x:f>IF(A34="","",IF(F34="EA",IF(COUNTIF(ExAnte!$A$6:$A$55,A34)=1,IF(ISNUMBER(INDEX(ExAnte!$I$6:$I$55,MATCH(A34,ExAnte!$A$6:$A$55,0))),INDEX(ExAnte!$I$6:$I$55,MATCH(A34,ExAnte!$A$6:$A$55,0)),""),""),IF(F34="EP",IF(COUNTIF(ExPost!$A$6:$A$55,A34)=1,IF(ISNUMBER(INDEX(ExPost!$I$6:$I$55,MATCH(A34,ExPost!$A$6:$A$55,0))),INDEX(ExPost!$I$6:$I$55,MATCH(A34,ExPost!$A$6:$A$55,0)),""),""),"")))</x:f>
      </x:c>
      <x:c r="E34" s="41" t="str">
        <x:f>IF(COUNT(C34:D34)=2,IF(C34&gt;=0,C34*D34,""),"")</x:f>
      </x:c>
      <x:c r="F34" s="36"/>
      <x:c r="G34" s="41" t="str">
        <x:f>IF(A34="","",SUMIFS($C$6:$C$155,$A$6:$A$155,A34,$F$6:$F$155,F34))</x:f>
      </x:c>
      <x:c r="H34" s="41" t="str">
        <x:f>IF(A34="","",SUMIFS($E$6:$E$155,$A$6:$A$155,A34,$F$6:$F$155,F34))</x:f>
      </x:c>
      <x:c r="I34" s="41" t="str">
        <x:f>IF(COUNT(D34,H34)=2,H34-D34,"")</x:f>
      </x:c>
      <x:c r="J34" s="41" t="str">
        <x:f>IF(A34="","","ALLOCATION - NOT OBSERVATION")</x:f>
      </x:c>
      <x:c r="K34" s="36"/>
      <x:c r="L34" s="41" t="str">
        <x:f>IF(A34="","",IF(AND(ISNUMBER(E34),K34&lt;&gt;"",ABS(G34-1)&lt;=Profile!$B$18,ABS(I34)&lt;=Profile!$B$18),"ARITHMETIC MATCH","HOLD: WEIGHTS / INPUT"))</x:f>
      </x:c>
    </x:row>
    <x:row r="35" ht="23" customHeight="1">
      <x:c r="A35" s="38"/>
      <x:c r="B35" s="36"/>
      <x:c r="C35" s="36"/>
      <x:c r="D35" s="41" t="str">
        <x:f>IF(A35="","",IF(F35="EA",IF(COUNTIF(ExAnte!$A$6:$A$55,A35)=1,IF(ISNUMBER(INDEX(ExAnte!$I$6:$I$55,MATCH(A35,ExAnte!$A$6:$A$55,0))),INDEX(ExAnte!$I$6:$I$55,MATCH(A35,ExAnte!$A$6:$A$55,0)),""),""),IF(F35="EP",IF(COUNTIF(ExPost!$A$6:$A$55,A35)=1,IF(ISNUMBER(INDEX(ExPost!$I$6:$I$55,MATCH(A35,ExPost!$A$6:$A$55,0))),INDEX(ExPost!$I$6:$I$55,MATCH(A35,ExPost!$A$6:$A$55,0)),""),""),"")))</x:f>
      </x:c>
      <x:c r="E35" s="41" t="str">
        <x:f>IF(COUNT(C35:D35)=2,IF(C35&gt;=0,C35*D35,""),"")</x:f>
      </x:c>
      <x:c r="F35" s="36"/>
      <x:c r="G35" s="41" t="str">
        <x:f>IF(A35="","",SUMIFS($C$6:$C$155,$A$6:$A$155,A35,$F$6:$F$155,F35))</x:f>
      </x:c>
      <x:c r="H35" s="41" t="str">
        <x:f>IF(A35="","",SUMIFS($E$6:$E$155,$A$6:$A$155,A35,$F$6:$F$155,F35))</x:f>
      </x:c>
      <x:c r="I35" s="41" t="str">
        <x:f>IF(COUNT(D35,H35)=2,H35-D35,"")</x:f>
      </x:c>
      <x:c r="J35" s="41" t="str">
        <x:f>IF(A35="","","ALLOCATION - NOT OBSERVATION")</x:f>
      </x:c>
      <x:c r="K35" s="36"/>
      <x:c r="L35" s="41" t="str">
        <x:f>IF(A35="","",IF(AND(ISNUMBER(E35),K35&lt;&gt;"",ABS(G35-1)&lt;=Profile!$B$18,ABS(I35)&lt;=Profile!$B$18),"ARITHMETIC MATCH","HOLD: WEIGHTS / INPUT"))</x:f>
      </x:c>
    </x:row>
    <x:row r="36" ht="23" customHeight="1">
      <x:c r="A36" s="38"/>
      <x:c r="B36" s="36"/>
      <x:c r="C36" s="36"/>
      <x:c r="D36" s="41" t="str">
        <x:f>IF(A36="","",IF(F36="EA",IF(COUNTIF(ExAnte!$A$6:$A$55,A36)=1,IF(ISNUMBER(INDEX(ExAnte!$I$6:$I$55,MATCH(A36,ExAnte!$A$6:$A$55,0))),INDEX(ExAnte!$I$6:$I$55,MATCH(A36,ExAnte!$A$6:$A$55,0)),""),""),IF(F36="EP",IF(COUNTIF(ExPost!$A$6:$A$55,A36)=1,IF(ISNUMBER(INDEX(ExPost!$I$6:$I$55,MATCH(A36,ExPost!$A$6:$A$55,0))),INDEX(ExPost!$I$6:$I$55,MATCH(A36,ExPost!$A$6:$A$55,0)),""),""),"")))</x:f>
      </x:c>
      <x:c r="E36" s="41" t="str">
        <x:f>IF(COUNT(C36:D36)=2,IF(C36&gt;=0,C36*D36,""),"")</x:f>
      </x:c>
      <x:c r="F36" s="36"/>
      <x:c r="G36" s="41" t="str">
        <x:f>IF(A36="","",SUMIFS($C$6:$C$155,$A$6:$A$155,A36,$F$6:$F$155,F36))</x:f>
      </x:c>
      <x:c r="H36" s="41" t="str">
        <x:f>IF(A36="","",SUMIFS($E$6:$E$155,$A$6:$A$155,A36,$F$6:$F$155,F36))</x:f>
      </x:c>
      <x:c r="I36" s="41" t="str">
        <x:f>IF(COUNT(D36,H36)=2,H36-D36,"")</x:f>
      </x:c>
      <x:c r="J36" s="41" t="str">
        <x:f>IF(A36="","","ALLOCATION - NOT OBSERVATION")</x:f>
      </x:c>
      <x:c r="K36" s="36"/>
      <x:c r="L36" s="41" t="str">
        <x:f>IF(A36="","",IF(AND(ISNUMBER(E36),K36&lt;&gt;"",ABS(G36-1)&lt;=Profile!$B$18,ABS(I36)&lt;=Profile!$B$18),"ARITHMETIC MATCH","HOLD: WEIGHTS / INPUT"))</x:f>
      </x:c>
    </x:row>
    <x:row r="37" ht="23" customHeight="1">
      <x:c r="A37" s="38"/>
      <x:c r="B37" s="36"/>
      <x:c r="C37" s="36"/>
      <x:c r="D37" s="41" t="str">
        <x:f>IF(A37="","",IF(F37="EA",IF(COUNTIF(ExAnte!$A$6:$A$55,A37)=1,IF(ISNUMBER(INDEX(ExAnte!$I$6:$I$55,MATCH(A37,ExAnte!$A$6:$A$55,0))),INDEX(ExAnte!$I$6:$I$55,MATCH(A37,ExAnte!$A$6:$A$55,0)),""),""),IF(F37="EP",IF(COUNTIF(ExPost!$A$6:$A$55,A37)=1,IF(ISNUMBER(INDEX(ExPost!$I$6:$I$55,MATCH(A37,ExPost!$A$6:$A$55,0))),INDEX(ExPost!$I$6:$I$55,MATCH(A37,ExPost!$A$6:$A$55,0)),""),""),"")))</x:f>
      </x:c>
      <x:c r="E37" s="41" t="str">
        <x:f>IF(COUNT(C37:D37)=2,IF(C37&gt;=0,C37*D37,""),"")</x:f>
      </x:c>
      <x:c r="F37" s="36"/>
      <x:c r="G37" s="41" t="str">
        <x:f>IF(A37="","",SUMIFS($C$6:$C$155,$A$6:$A$155,A37,$F$6:$F$155,F37))</x:f>
      </x:c>
      <x:c r="H37" s="41" t="str">
        <x:f>IF(A37="","",SUMIFS($E$6:$E$155,$A$6:$A$155,A37,$F$6:$F$155,F37))</x:f>
      </x:c>
      <x:c r="I37" s="41" t="str">
        <x:f>IF(COUNT(D37,H37)=2,H37-D37,"")</x:f>
      </x:c>
      <x:c r="J37" s="41" t="str">
        <x:f>IF(A37="","","ALLOCATION - NOT OBSERVATION")</x:f>
      </x:c>
      <x:c r="K37" s="36"/>
      <x:c r="L37" s="41" t="str">
        <x:f>IF(A37="","",IF(AND(ISNUMBER(E37),K37&lt;&gt;"",ABS(G37-1)&lt;=Profile!$B$18,ABS(I37)&lt;=Profile!$B$18),"ARITHMETIC MATCH","HOLD: WEIGHTS / INPUT"))</x:f>
      </x:c>
    </x:row>
    <x:row r="38" ht="23" customHeight="1">
      <x:c r="A38" s="38"/>
      <x:c r="B38" s="36"/>
      <x:c r="C38" s="36"/>
      <x:c r="D38" s="41" t="str">
        <x:f>IF(A38="","",IF(F38="EA",IF(COUNTIF(ExAnte!$A$6:$A$55,A38)=1,IF(ISNUMBER(INDEX(ExAnte!$I$6:$I$55,MATCH(A38,ExAnte!$A$6:$A$55,0))),INDEX(ExAnte!$I$6:$I$55,MATCH(A38,ExAnte!$A$6:$A$55,0)),""),""),IF(F38="EP",IF(COUNTIF(ExPost!$A$6:$A$55,A38)=1,IF(ISNUMBER(INDEX(ExPost!$I$6:$I$55,MATCH(A38,ExPost!$A$6:$A$55,0))),INDEX(ExPost!$I$6:$I$55,MATCH(A38,ExPost!$A$6:$A$55,0)),""),""),"")))</x:f>
      </x:c>
      <x:c r="E38" s="41" t="str">
        <x:f>IF(COUNT(C38:D38)=2,IF(C38&gt;=0,C38*D38,""),"")</x:f>
      </x:c>
      <x:c r="F38" s="36"/>
      <x:c r="G38" s="41" t="str">
        <x:f>IF(A38="","",SUMIFS($C$6:$C$155,$A$6:$A$155,A38,$F$6:$F$155,F38))</x:f>
      </x:c>
      <x:c r="H38" s="41" t="str">
        <x:f>IF(A38="","",SUMIFS($E$6:$E$155,$A$6:$A$155,A38,$F$6:$F$155,F38))</x:f>
      </x:c>
      <x:c r="I38" s="41" t="str">
        <x:f>IF(COUNT(D38,H38)=2,H38-D38,"")</x:f>
      </x:c>
      <x:c r="J38" s="41" t="str">
        <x:f>IF(A38="","","ALLOCATION - NOT OBSERVATION")</x:f>
      </x:c>
      <x:c r="K38" s="36"/>
      <x:c r="L38" s="41" t="str">
        <x:f>IF(A38="","",IF(AND(ISNUMBER(E38),K38&lt;&gt;"",ABS(G38-1)&lt;=Profile!$B$18,ABS(I38)&lt;=Profile!$B$18),"ARITHMETIC MATCH","HOLD: WEIGHTS / INPUT"))</x:f>
      </x:c>
    </x:row>
    <x:row r="39" ht="23" customHeight="1">
      <x:c r="A39" s="38"/>
      <x:c r="B39" s="36"/>
      <x:c r="C39" s="36"/>
      <x:c r="D39" s="41" t="str">
        <x:f>IF(A39="","",IF(F39="EA",IF(COUNTIF(ExAnte!$A$6:$A$55,A39)=1,IF(ISNUMBER(INDEX(ExAnte!$I$6:$I$55,MATCH(A39,ExAnte!$A$6:$A$55,0))),INDEX(ExAnte!$I$6:$I$55,MATCH(A39,ExAnte!$A$6:$A$55,0)),""),""),IF(F39="EP",IF(COUNTIF(ExPost!$A$6:$A$55,A39)=1,IF(ISNUMBER(INDEX(ExPost!$I$6:$I$55,MATCH(A39,ExPost!$A$6:$A$55,0))),INDEX(ExPost!$I$6:$I$55,MATCH(A39,ExPost!$A$6:$A$55,0)),""),""),"")))</x:f>
      </x:c>
      <x:c r="E39" s="41" t="str">
        <x:f>IF(COUNT(C39:D39)=2,IF(C39&gt;=0,C39*D39,""),"")</x:f>
      </x:c>
      <x:c r="F39" s="36"/>
      <x:c r="G39" s="41" t="str">
        <x:f>IF(A39="","",SUMIFS($C$6:$C$155,$A$6:$A$155,A39,$F$6:$F$155,F39))</x:f>
      </x:c>
      <x:c r="H39" s="41" t="str">
        <x:f>IF(A39="","",SUMIFS($E$6:$E$155,$A$6:$A$155,A39,$F$6:$F$155,F39))</x:f>
      </x:c>
      <x:c r="I39" s="41" t="str">
        <x:f>IF(COUNT(D39,H39)=2,H39-D39,"")</x:f>
      </x:c>
      <x:c r="J39" s="41" t="str">
        <x:f>IF(A39="","","ALLOCATION - NOT OBSERVATION")</x:f>
      </x:c>
      <x:c r="K39" s="36"/>
      <x:c r="L39" s="41" t="str">
        <x:f>IF(A39="","",IF(AND(ISNUMBER(E39),K39&lt;&gt;"",ABS(G39-1)&lt;=Profile!$B$18,ABS(I39)&lt;=Profile!$B$18),"ARITHMETIC MATCH","HOLD: WEIGHTS / INPUT"))</x:f>
      </x:c>
    </x:row>
    <x:row r="40" ht="23" customHeight="1">
      <x:c r="A40" s="38"/>
      <x:c r="B40" s="36"/>
      <x:c r="C40" s="36"/>
      <x:c r="D40" s="41" t="str">
        <x:f>IF(A40="","",IF(F40="EA",IF(COUNTIF(ExAnte!$A$6:$A$55,A40)=1,IF(ISNUMBER(INDEX(ExAnte!$I$6:$I$55,MATCH(A40,ExAnte!$A$6:$A$55,0))),INDEX(ExAnte!$I$6:$I$55,MATCH(A40,ExAnte!$A$6:$A$55,0)),""),""),IF(F40="EP",IF(COUNTIF(ExPost!$A$6:$A$55,A40)=1,IF(ISNUMBER(INDEX(ExPost!$I$6:$I$55,MATCH(A40,ExPost!$A$6:$A$55,0))),INDEX(ExPost!$I$6:$I$55,MATCH(A40,ExPost!$A$6:$A$55,0)),""),""),"")))</x:f>
      </x:c>
      <x:c r="E40" s="41" t="str">
        <x:f>IF(COUNT(C40:D40)=2,IF(C40&gt;=0,C40*D40,""),"")</x:f>
      </x:c>
      <x:c r="F40" s="36"/>
      <x:c r="G40" s="41" t="str">
        <x:f>IF(A40="","",SUMIFS($C$6:$C$155,$A$6:$A$155,A40,$F$6:$F$155,F40))</x:f>
      </x:c>
      <x:c r="H40" s="41" t="str">
        <x:f>IF(A40="","",SUMIFS($E$6:$E$155,$A$6:$A$155,A40,$F$6:$F$155,F40))</x:f>
      </x:c>
      <x:c r="I40" s="41" t="str">
        <x:f>IF(COUNT(D40,H40)=2,H40-D40,"")</x:f>
      </x:c>
      <x:c r="J40" s="41" t="str">
        <x:f>IF(A40="","","ALLOCATION - NOT OBSERVATION")</x:f>
      </x:c>
      <x:c r="K40" s="36"/>
      <x:c r="L40" s="41" t="str">
        <x:f>IF(A40="","",IF(AND(ISNUMBER(E40),K40&lt;&gt;"",ABS(G40-1)&lt;=Profile!$B$18,ABS(I40)&lt;=Profile!$B$18),"ARITHMETIC MATCH","HOLD: WEIGHTS / INPUT"))</x:f>
      </x:c>
    </x:row>
    <x:row r="41" ht="23" customHeight="1">
      <x:c r="A41" s="38"/>
      <x:c r="B41" s="36"/>
      <x:c r="C41" s="36"/>
      <x:c r="D41" s="41" t="str">
        <x:f>IF(A41="","",IF(F41="EA",IF(COUNTIF(ExAnte!$A$6:$A$55,A41)=1,IF(ISNUMBER(INDEX(ExAnte!$I$6:$I$55,MATCH(A41,ExAnte!$A$6:$A$55,0))),INDEX(ExAnte!$I$6:$I$55,MATCH(A41,ExAnte!$A$6:$A$55,0)),""),""),IF(F41="EP",IF(COUNTIF(ExPost!$A$6:$A$55,A41)=1,IF(ISNUMBER(INDEX(ExPost!$I$6:$I$55,MATCH(A41,ExPost!$A$6:$A$55,0))),INDEX(ExPost!$I$6:$I$55,MATCH(A41,ExPost!$A$6:$A$55,0)),""),""),"")))</x:f>
      </x:c>
      <x:c r="E41" s="41" t="str">
        <x:f>IF(COUNT(C41:D41)=2,IF(C41&gt;=0,C41*D41,""),"")</x:f>
      </x:c>
      <x:c r="F41" s="36"/>
      <x:c r="G41" s="41" t="str">
        <x:f>IF(A41="","",SUMIFS($C$6:$C$155,$A$6:$A$155,A41,$F$6:$F$155,F41))</x:f>
      </x:c>
      <x:c r="H41" s="41" t="str">
        <x:f>IF(A41="","",SUMIFS($E$6:$E$155,$A$6:$A$155,A41,$F$6:$F$155,F41))</x:f>
      </x:c>
      <x:c r="I41" s="41" t="str">
        <x:f>IF(COUNT(D41,H41)=2,H41-D41,"")</x:f>
      </x:c>
      <x:c r="J41" s="41" t="str">
        <x:f>IF(A41="","","ALLOCATION - NOT OBSERVATION")</x:f>
      </x:c>
      <x:c r="K41" s="36"/>
      <x:c r="L41" s="41" t="str">
        <x:f>IF(A41="","",IF(AND(ISNUMBER(E41),K41&lt;&gt;"",ABS(G41-1)&lt;=Profile!$B$18,ABS(I41)&lt;=Profile!$B$18),"ARITHMETIC MATCH","HOLD: WEIGHTS / INPUT"))</x:f>
      </x:c>
    </x:row>
    <x:row r="42" ht="23" customHeight="1">
      <x:c r="A42" s="38"/>
      <x:c r="B42" s="36"/>
      <x:c r="C42" s="36"/>
      <x:c r="D42" s="41" t="str">
        <x:f>IF(A42="","",IF(F42="EA",IF(COUNTIF(ExAnte!$A$6:$A$55,A42)=1,IF(ISNUMBER(INDEX(ExAnte!$I$6:$I$55,MATCH(A42,ExAnte!$A$6:$A$55,0))),INDEX(ExAnte!$I$6:$I$55,MATCH(A42,ExAnte!$A$6:$A$55,0)),""),""),IF(F42="EP",IF(COUNTIF(ExPost!$A$6:$A$55,A42)=1,IF(ISNUMBER(INDEX(ExPost!$I$6:$I$55,MATCH(A42,ExPost!$A$6:$A$55,0))),INDEX(ExPost!$I$6:$I$55,MATCH(A42,ExPost!$A$6:$A$55,0)),""),""),"")))</x:f>
      </x:c>
      <x:c r="E42" s="41" t="str">
        <x:f>IF(COUNT(C42:D42)=2,IF(C42&gt;=0,C42*D42,""),"")</x:f>
      </x:c>
      <x:c r="F42" s="36"/>
      <x:c r="G42" s="41" t="str">
        <x:f>IF(A42="","",SUMIFS($C$6:$C$155,$A$6:$A$155,A42,$F$6:$F$155,F42))</x:f>
      </x:c>
      <x:c r="H42" s="41" t="str">
        <x:f>IF(A42="","",SUMIFS($E$6:$E$155,$A$6:$A$155,A42,$F$6:$F$155,F42))</x:f>
      </x:c>
      <x:c r="I42" s="41" t="str">
        <x:f>IF(COUNT(D42,H42)=2,H42-D42,"")</x:f>
      </x:c>
      <x:c r="J42" s="41" t="str">
        <x:f>IF(A42="","","ALLOCATION - NOT OBSERVATION")</x:f>
      </x:c>
      <x:c r="K42" s="36"/>
      <x:c r="L42" s="41" t="str">
        <x:f>IF(A42="","",IF(AND(ISNUMBER(E42),K42&lt;&gt;"",ABS(G42-1)&lt;=Profile!$B$18,ABS(I42)&lt;=Profile!$B$18),"ARITHMETIC MATCH","HOLD: WEIGHTS / INPUT"))</x:f>
      </x:c>
    </x:row>
    <x:row r="43" ht="23" customHeight="1">
      <x:c r="A43" s="38"/>
      <x:c r="B43" s="36"/>
      <x:c r="C43" s="36"/>
      <x:c r="D43" s="41" t="str">
        <x:f>IF(A43="","",IF(F43="EA",IF(COUNTIF(ExAnte!$A$6:$A$55,A43)=1,IF(ISNUMBER(INDEX(ExAnte!$I$6:$I$55,MATCH(A43,ExAnte!$A$6:$A$55,0))),INDEX(ExAnte!$I$6:$I$55,MATCH(A43,ExAnte!$A$6:$A$55,0)),""),""),IF(F43="EP",IF(COUNTIF(ExPost!$A$6:$A$55,A43)=1,IF(ISNUMBER(INDEX(ExPost!$I$6:$I$55,MATCH(A43,ExPost!$A$6:$A$55,0))),INDEX(ExPost!$I$6:$I$55,MATCH(A43,ExPost!$A$6:$A$55,0)),""),""),"")))</x:f>
      </x:c>
      <x:c r="E43" s="41" t="str">
        <x:f>IF(COUNT(C43:D43)=2,IF(C43&gt;=0,C43*D43,""),"")</x:f>
      </x:c>
      <x:c r="F43" s="36"/>
      <x:c r="G43" s="41" t="str">
        <x:f>IF(A43="","",SUMIFS($C$6:$C$155,$A$6:$A$155,A43,$F$6:$F$155,F43))</x:f>
      </x:c>
      <x:c r="H43" s="41" t="str">
        <x:f>IF(A43="","",SUMIFS($E$6:$E$155,$A$6:$A$155,A43,$F$6:$F$155,F43))</x:f>
      </x:c>
      <x:c r="I43" s="41" t="str">
        <x:f>IF(COUNT(D43,H43)=2,H43-D43,"")</x:f>
      </x:c>
      <x:c r="J43" s="41" t="str">
        <x:f>IF(A43="","","ALLOCATION - NOT OBSERVATION")</x:f>
      </x:c>
      <x:c r="K43" s="36"/>
      <x:c r="L43" s="41" t="str">
        <x:f>IF(A43="","",IF(AND(ISNUMBER(E43),K43&lt;&gt;"",ABS(G43-1)&lt;=Profile!$B$18,ABS(I43)&lt;=Profile!$B$18),"ARITHMETIC MATCH","HOLD: WEIGHTS / INPUT"))</x:f>
      </x:c>
    </x:row>
    <x:row r="44" ht="23" customHeight="1">
      <x:c r="A44" s="38"/>
      <x:c r="B44" s="36"/>
      <x:c r="C44" s="36"/>
      <x:c r="D44" s="41" t="str">
        <x:f>IF(A44="","",IF(F44="EA",IF(COUNTIF(ExAnte!$A$6:$A$55,A44)=1,IF(ISNUMBER(INDEX(ExAnte!$I$6:$I$55,MATCH(A44,ExAnte!$A$6:$A$55,0))),INDEX(ExAnte!$I$6:$I$55,MATCH(A44,ExAnte!$A$6:$A$55,0)),""),""),IF(F44="EP",IF(COUNTIF(ExPost!$A$6:$A$55,A44)=1,IF(ISNUMBER(INDEX(ExPost!$I$6:$I$55,MATCH(A44,ExPost!$A$6:$A$55,0))),INDEX(ExPost!$I$6:$I$55,MATCH(A44,ExPost!$A$6:$A$55,0)),""),""),"")))</x:f>
      </x:c>
      <x:c r="E44" s="41" t="str">
        <x:f>IF(COUNT(C44:D44)=2,IF(C44&gt;=0,C44*D44,""),"")</x:f>
      </x:c>
      <x:c r="F44" s="36"/>
      <x:c r="G44" s="41" t="str">
        <x:f>IF(A44="","",SUMIFS($C$6:$C$155,$A$6:$A$155,A44,$F$6:$F$155,F44))</x:f>
      </x:c>
      <x:c r="H44" s="41" t="str">
        <x:f>IF(A44="","",SUMIFS($E$6:$E$155,$A$6:$A$155,A44,$F$6:$F$155,F44))</x:f>
      </x:c>
      <x:c r="I44" s="41" t="str">
        <x:f>IF(COUNT(D44,H44)=2,H44-D44,"")</x:f>
      </x:c>
      <x:c r="J44" s="41" t="str">
        <x:f>IF(A44="","","ALLOCATION - NOT OBSERVATION")</x:f>
      </x:c>
      <x:c r="K44" s="36"/>
      <x:c r="L44" s="41" t="str">
        <x:f>IF(A44="","",IF(AND(ISNUMBER(E44),K44&lt;&gt;"",ABS(G44-1)&lt;=Profile!$B$18,ABS(I44)&lt;=Profile!$B$18),"ARITHMETIC MATCH","HOLD: WEIGHTS / INPUT"))</x:f>
      </x:c>
    </x:row>
    <x:row r="45" ht="23" customHeight="1">
      <x:c r="A45" s="38"/>
      <x:c r="B45" s="36"/>
      <x:c r="C45" s="36"/>
      <x:c r="D45" s="41" t="str">
        <x:f>IF(A45="","",IF(F45="EA",IF(COUNTIF(ExAnte!$A$6:$A$55,A45)=1,IF(ISNUMBER(INDEX(ExAnte!$I$6:$I$55,MATCH(A45,ExAnte!$A$6:$A$55,0))),INDEX(ExAnte!$I$6:$I$55,MATCH(A45,ExAnte!$A$6:$A$55,0)),""),""),IF(F45="EP",IF(COUNTIF(ExPost!$A$6:$A$55,A45)=1,IF(ISNUMBER(INDEX(ExPost!$I$6:$I$55,MATCH(A45,ExPost!$A$6:$A$55,0))),INDEX(ExPost!$I$6:$I$55,MATCH(A45,ExPost!$A$6:$A$55,0)),""),""),"")))</x:f>
      </x:c>
      <x:c r="E45" s="41" t="str">
        <x:f>IF(COUNT(C45:D45)=2,IF(C45&gt;=0,C45*D45,""),"")</x:f>
      </x:c>
      <x:c r="F45" s="36"/>
      <x:c r="G45" s="41" t="str">
        <x:f>IF(A45="","",SUMIFS($C$6:$C$155,$A$6:$A$155,A45,$F$6:$F$155,F45))</x:f>
      </x:c>
      <x:c r="H45" s="41" t="str">
        <x:f>IF(A45="","",SUMIFS($E$6:$E$155,$A$6:$A$155,A45,$F$6:$F$155,F45))</x:f>
      </x:c>
      <x:c r="I45" s="41" t="str">
        <x:f>IF(COUNT(D45,H45)=2,H45-D45,"")</x:f>
      </x:c>
      <x:c r="J45" s="41" t="str">
        <x:f>IF(A45="","","ALLOCATION - NOT OBSERVATION")</x:f>
      </x:c>
      <x:c r="K45" s="36"/>
      <x:c r="L45" s="41" t="str">
        <x:f>IF(A45="","",IF(AND(ISNUMBER(E45),K45&lt;&gt;"",ABS(G45-1)&lt;=Profile!$B$18,ABS(I45)&lt;=Profile!$B$18),"ARITHMETIC MATCH","HOLD: WEIGHTS / INPUT"))</x:f>
      </x:c>
    </x:row>
    <x:row r="46" ht="23" customHeight="1">
      <x:c r="A46" s="38"/>
      <x:c r="B46" s="36"/>
      <x:c r="C46" s="36"/>
      <x:c r="D46" s="41" t="str">
        <x:f>IF(A46="","",IF(F46="EA",IF(COUNTIF(ExAnte!$A$6:$A$55,A46)=1,IF(ISNUMBER(INDEX(ExAnte!$I$6:$I$55,MATCH(A46,ExAnte!$A$6:$A$55,0))),INDEX(ExAnte!$I$6:$I$55,MATCH(A46,ExAnte!$A$6:$A$55,0)),""),""),IF(F46="EP",IF(COUNTIF(ExPost!$A$6:$A$55,A46)=1,IF(ISNUMBER(INDEX(ExPost!$I$6:$I$55,MATCH(A46,ExPost!$A$6:$A$55,0))),INDEX(ExPost!$I$6:$I$55,MATCH(A46,ExPost!$A$6:$A$55,0)),""),""),"")))</x:f>
      </x:c>
      <x:c r="E46" s="41" t="str">
        <x:f>IF(COUNT(C46:D46)=2,IF(C46&gt;=0,C46*D46,""),"")</x:f>
      </x:c>
      <x:c r="F46" s="36"/>
      <x:c r="G46" s="41" t="str">
        <x:f>IF(A46="","",SUMIFS($C$6:$C$155,$A$6:$A$155,A46,$F$6:$F$155,F46))</x:f>
      </x:c>
      <x:c r="H46" s="41" t="str">
        <x:f>IF(A46="","",SUMIFS($E$6:$E$155,$A$6:$A$155,A46,$F$6:$F$155,F46))</x:f>
      </x:c>
      <x:c r="I46" s="41" t="str">
        <x:f>IF(COUNT(D46,H46)=2,H46-D46,"")</x:f>
      </x:c>
      <x:c r="J46" s="41" t="str">
        <x:f>IF(A46="","","ALLOCATION - NOT OBSERVATION")</x:f>
      </x:c>
      <x:c r="K46" s="36"/>
      <x:c r="L46" s="41" t="str">
        <x:f>IF(A46="","",IF(AND(ISNUMBER(E46),K46&lt;&gt;"",ABS(G46-1)&lt;=Profile!$B$18,ABS(I46)&lt;=Profile!$B$18),"ARITHMETIC MATCH","HOLD: WEIGHTS / INPUT"))</x:f>
      </x:c>
    </x:row>
    <x:row r="47" ht="23" customHeight="1">
      <x:c r="A47" s="38"/>
      <x:c r="B47" s="36"/>
      <x:c r="C47" s="36"/>
      <x:c r="D47" s="41" t="str">
        <x:f>IF(A47="","",IF(F47="EA",IF(COUNTIF(ExAnte!$A$6:$A$55,A47)=1,IF(ISNUMBER(INDEX(ExAnte!$I$6:$I$55,MATCH(A47,ExAnte!$A$6:$A$55,0))),INDEX(ExAnte!$I$6:$I$55,MATCH(A47,ExAnte!$A$6:$A$55,0)),""),""),IF(F47="EP",IF(COUNTIF(ExPost!$A$6:$A$55,A47)=1,IF(ISNUMBER(INDEX(ExPost!$I$6:$I$55,MATCH(A47,ExPost!$A$6:$A$55,0))),INDEX(ExPost!$I$6:$I$55,MATCH(A47,ExPost!$A$6:$A$55,0)),""),""),"")))</x:f>
      </x:c>
      <x:c r="E47" s="41" t="str">
        <x:f>IF(COUNT(C47:D47)=2,IF(C47&gt;=0,C47*D47,""),"")</x:f>
      </x:c>
      <x:c r="F47" s="36"/>
      <x:c r="G47" s="41" t="str">
        <x:f>IF(A47="","",SUMIFS($C$6:$C$155,$A$6:$A$155,A47,$F$6:$F$155,F47))</x:f>
      </x:c>
      <x:c r="H47" s="41" t="str">
        <x:f>IF(A47="","",SUMIFS($E$6:$E$155,$A$6:$A$155,A47,$F$6:$F$155,F47))</x:f>
      </x:c>
      <x:c r="I47" s="41" t="str">
        <x:f>IF(COUNT(D47,H47)=2,H47-D47,"")</x:f>
      </x:c>
      <x:c r="J47" s="41" t="str">
        <x:f>IF(A47="","","ALLOCATION - NOT OBSERVATION")</x:f>
      </x:c>
      <x:c r="K47" s="36"/>
      <x:c r="L47" s="41" t="str">
        <x:f>IF(A47="","",IF(AND(ISNUMBER(E47),K47&lt;&gt;"",ABS(G47-1)&lt;=Profile!$B$18,ABS(I47)&lt;=Profile!$B$18),"ARITHMETIC MATCH","HOLD: WEIGHTS / INPUT"))</x:f>
      </x:c>
    </x:row>
    <x:row r="48" ht="23" customHeight="1">
      <x:c r="A48" s="38"/>
      <x:c r="B48" s="36"/>
      <x:c r="C48" s="36"/>
      <x:c r="D48" s="41" t="str">
        <x:f>IF(A48="","",IF(F48="EA",IF(COUNTIF(ExAnte!$A$6:$A$55,A48)=1,IF(ISNUMBER(INDEX(ExAnte!$I$6:$I$55,MATCH(A48,ExAnte!$A$6:$A$55,0))),INDEX(ExAnte!$I$6:$I$55,MATCH(A48,ExAnte!$A$6:$A$55,0)),""),""),IF(F48="EP",IF(COUNTIF(ExPost!$A$6:$A$55,A48)=1,IF(ISNUMBER(INDEX(ExPost!$I$6:$I$55,MATCH(A48,ExPost!$A$6:$A$55,0))),INDEX(ExPost!$I$6:$I$55,MATCH(A48,ExPost!$A$6:$A$55,0)),""),""),"")))</x:f>
      </x:c>
      <x:c r="E48" s="41" t="str">
        <x:f>IF(COUNT(C48:D48)=2,IF(C48&gt;=0,C48*D48,""),"")</x:f>
      </x:c>
      <x:c r="F48" s="36"/>
      <x:c r="G48" s="41" t="str">
        <x:f>IF(A48="","",SUMIFS($C$6:$C$155,$A$6:$A$155,A48,$F$6:$F$155,F48))</x:f>
      </x:c>
      <x:c r="H48" s="41" t="str">
        <x:f>IF(A48="","",SUMIFS($E$6:$E$155,$A$6:$A$155,A48,$F$6:$F$155,F48))</x:f>
      </x:c>
      <x:c r="I48" s="41" t="str">
        <x:f>IF(COUNT(D48,H48)=2,H48-D48,"")</x:f>
      </x:c>
      <x:c r="J48" s="41" t="str">
        <x:f>IF(A48="","","ALLOCATION - NOT OBSERVATION")</x:f>
      </x:c>
      <x:c r="K48" s="36"/>
      <x:c r="L48" s="41" t="str">
        <x:f>IF(A48="","",IF(AND(ISNUMBER(E48),K48&lt;&gt;"",ABS(G48-1)&lt;=Profile!$B$18,ABS(I48)&lt;=Profile!$B$18),"ARITHMETIC MATCH","HOLD: WEIGHTS / INPUT"))</x:f>
      </x:c>
    </x:row>
    <x:row r="49" ht="23" customHeight="1">
      <x:c r="A49" s="38"/>
      <x:c r="B49" s="36"/>
      <x:c r="C49" s="36"/>
      <x:c r="D49" s="41" t="str">
        <x:f>IF(A49="","",IF(F49="EA",IF(COUNTIF(ExAnte!$A$6:$A$55,A49)=1,IF(ISNUMBER(INDEX(ExAnte!$I$6:$I$55,MATCH(A49,ExAnte!$A$6:$A$55,0))),INDEX(ExAnte!$I$6:$I$55,MATCH(A49,ExAnte!$A$6:$A$55,0)),""),""),IF(F49="EP",IF(COUNTIF(ExPost!$A$6:$A$55,A49)=1,IF(ISNUMBER(INDEX(ExPost!$I$6:$I$55,MATCH(A49,ExPost!$A$6:$A$55,0))),INDEX(ExPost!$I$6:$I$55,MATCH(A49,ExPost!$A$6:$A$55,0)),""),""),"")))</x:f>
      </x:c>
      <x:c r="E49" s="41" t="str">
        <x:f>IF(COUNT(C49:D49)=2,IF(C49&gt;=0,C49*D49,""),"")</x:f>
      </x:c>
      <x:c r="F49" s="36"/>
      <x:c r="G49" s="41" t="str">
        <x:f>IF(A49="","",SUMIFS($C$6:$C$155,$A$6:$A$155,A49,$F$6:$F$155,F49))</x:f>
      </x:c>
      <x:c r="H49" s="41" t="str">
        <x:f>IF(A49="","",SUMIFS($E$6:$E$155,$A$6:$A$155,A49,$F$6:$F$155,F49))</x:f>
      </x:c>
      <x:c r="I49" s="41" t="str">
        <x:f>IF(COUNT(D49,H49)=2,H49-D49,"")</x:f>
      </x:c>
      <x:c r="J49" s="41" t="str">
        <x:f>IF(A49="","","ALLOCATION - NOT OBSERVATION")</x:f>
      </x:c>
      <x:c r="K49" s="36"/>
      <x:c r="L49" s="41" t="str">
        <x:f>IF(A49="","",IF(AND(ISNUMBER(E49),K49&lt;&gt;"",ABS(G49-1)&lt;=Profile!$B$18,ABS(I49)&lt;=Profile!$B$18),"ARITHMETIC MATCH","HOLD: WEIGHTS / INPUT"))</x:f>
      </x:c>
    </x:row>
    <x:row r="50" ht="23" customHeight="1">
      <x:c r="A50" s="38"/>
      <x:c r="B50" s="36"/>
      <x:c r="C50" s="36"/>
      <x:c r="D50" s="41" t="str">
        <x:f>IF(A50="","",IF(F50="EA",IF(COUNTIF(ExAnte!$A$6:$A$55,A50)=1,IF(ISNUMBER(INDEX(ExAnte!$I$6:$I$55,MATCH(A50,ExAnte!$A$6:$A$55,0))),INDEX(ExAnte!$I$6:$I$55,MATCH(A50,ExAnte!$A$6:$A$55,0)),""),""),IF(F50="EP",IF(COUNTIF(ExPost!$A$6:$A$55,A50)=1,IF(ISNUMBER(INDEX(ExPost!$I$6:$I$55,MATCH(A50,ExPost!$A$6:$A$55,0))),INDEX(ExPost!$I$6:$I$55,MATCH(A50,ExPost!$A$6:$A$55,0)),""),""),"")))</x:f>
      </x:c>
      <x:c r="E50" s="41" t="str">
        <x:f>IF(COUNT(C50:D50)=2,IF(C50&gt;=0,C50*D50,""),"")</x:f>
      </x:c>
      <x:c r="F50" s="36"/>
      <x:c r="G50" s="41" t="str">
        <x:f>IF(A50="","",SUMIFS($C$6:$C$155,$A$6:$A$155,A50,$F$6:$F$155,F50))</x:f>
      </x:c>
      <x:c r="H50" s="41" t="str">
        <x:f>IF(A50="","",SUMIFS($E$6:$E$155,$A$6:$A$155,A50,$F$6:$F$155,F50))</x:f>
      </x:c>
      <x:c r="I50" s="41" t="str">
        <x:f>IF(COUNT(D50,H50)=2,H50-D50,"")</x:f>
      </x:c>
      <x:c r="J50" s="41" t="str">
        <x:f>IF(A50="","","ALLOCATION - NOT OBSERVATION")</x:f>
      </x:c>
      <x:c r="K50" s="36"/>
      <x:c r="L50" s="41" t="str">
        <x:f>IF(A50="","",IF(AND(ISNUMBER(E50),K50&lt;&gt;"",ABS(G50-1)&lt;=Profile!$B$18,ABS(I50)&lt;=Profile!$B$18),"ARITHMETIC MATCH","HOLD: WEIGHTS / INPUT"))</x:f>
      </x:c>
    </x:row>
    <x:row r="51" ht="23" customHeight="1">
      <x:c r="A51" s="38"/>
      <x:c r="B51" s="36"/>
      <x:c r="C51" s="36"/>
      <x:c r="D51" s="41" t="str">
        <x:f>IF(A51="","",IF(F51="EA",IF(COUNTIF(ExAnte!$A$6:$A$55,A51)=1,IF(ISNUMBER(INDEX(ExAnte!$I$6:$I$55,MATCH(A51,ExAnte!$A$6:$A$55,0))),INDEX(ExAnte!$I$6:$I$55,MATCH(A51,ExAnte!$A$6:$A$55,0)),""),""),IF(F51="EP",IF(COUNTIF(ExPost!$A$6:$A$55,A51)=1,IF(ISNUMBER(INDEX(ExPost!$I$6:$I$55,MATCH(A51,ExPost!$A$6:$A$55,0))),INDEX(ExPost!$I$6:$I$55,MATCH(A51,ExPost!$A$6:$A$55,0)),""),""),"")))</x:f>
      </x:c>
      <x:c r="E51" s="41" t="str">
        <x:f>IF(COUNT(C51:D51)=2,IF(C51&gt;=0,C51*D51,""),"")</x:f>
      </x:c>
      <x:c r="F51" s="36"/>
      <x:c r="G51" s="41" t="str">
        <x:f>IF(A51="","",SUMIFS($C$6:$C$155,$A$6:$A$155,A51,$F$6:$F$155,F51))</x:f>
      </x:c>
      <x:c r="H51" s="41" t="str">
        <x:f>IF(A51="","",SUMIFS($E$6:$E$155,$A$6:$A$155,A51,$F$6:$F$155,F51))</x:f>
      </x:c>
      <x:c r="I51" s="41" t="str">
        <x:f>IF(COUNT(D51,H51)=2,H51-D51,"")</x:f>
      </x:c>
      <x:c r="J51" s="41" t="str">
        <x:f>IF(A51="","","ALLOCATION - NOT OBSERVATION")</x:f>
      </x:c>
      <x:c r="K51" s="36"/>
      <x:c r="L51" s="41" t="str">
        <x:f>IF(A51="","",IF(AND(ISNUMBER(E51),K51&lt;&gt;"",ABS(G51-1)&lt;=Profile!$B$18,ABS(I51)&lt;=Profile!$B$18),"ARITHMETIC MATCH","HOLD: WEIGHTS / INPUT"))</x:f>
      </x:c>
    </x:row>
    <x:row r="52" ht="23" customHeight="1">
      <x:c r="A52" s="38"/>
      <x:c r="B52" s="36"/>
      <x:c r="C52" s="36"/>
      <x:c r="D52" s="41" t="str">
        <x:f>IF(A52="","",IF(F52="EA",IF(COUNTIF(ExAnte!$A$6:$A$55,A52)=1,IF(ISNUMBER(INDEX(ExAnte!$I$6:$I$55,MATCH(A52,ExAnte!$A$6:$A$55,0))),INDEX(ExAnte!$I$6:$I$55,MATCH(A52,ExAnte!$A$6:$A$55,0)),""),""),IF(F52="EP",IF(COUNTIF(ExPost!$A$6:$A$55,A52)=1,IF(ISNUMBER(INDEX(ExPost!$I$6:$I$55,MATCH(A52,ExPost!$A$6:$A$55,0))),INDEX(ExPost!$I$6:$I$55,MATCH(A52,ExPost!$A$6:$A$55,0)),""),""),"")))</x:f>
      </x:c>
      <x:c r="E52" s="41" t="str">
        <x:f>IF(COUNT(C52:D52)=2,IF(C52&gt;=0,C52*D52,""),"")</x:f>
      </x:c>
      <x:c r="F52" s="36"/>
      <x:c r="G52" s="41" t="str">
        <x:f>IF(A52="","",SUMIFS($C$6:$C$155,$A$6:$A$155,A52,$F$6:$F$155,F52))</x:f>
      </x:c>
      <x:c r="H52" s="41" t="str">
        <x:f>IF(A52="","",SUMIFS($E$6:$E$155,$A$6:$A$155,A52,$F$6:$F$155,F52))</x:f>
      </x:c>
      <x:c r="I52" s="41" t="str">
        <x:f>IF(COUNT(D52,H52)=2,H52-D52,"")</x:f>
      </x:c>
      <x:c r="J52" s="41" t="str">
        <x:f>IF(A52="","","ALLOCATION - NOT OBSERVATION")</x:f>
      </x:c>
      <x:c r="K52" s="36"/>
      <x:c r="L52" s="41" t="str">
        <x:f>IF(A52="","",IF(AND(ISNUMBER(E52),K52&lt;&gt;"",ABS(G52-1)&lt;=Profile!$B$18,ABS(I52)&lt;=Profile!$B$18),"ARITHMETIC MATCH","HOLD: WEIGHTS / INPUT"))</x:f>
      </x:c>
    </x:row>
    <x:row r="53" ht="23" customHeight="1">
      <x:c r="A53" s="38"/>
      <x:c r="B53" s="36"/>
      <x:c r="C53" s="36"/>
      <x:c r="D53" s="41" t="str">
        <x:f>IF(A53="","",IF(F53="EA",IF(COUNTIF(ExAnte!$A$6:$A$55,A53)=1,IF(ISNUMBER(INDEX(ExAnte!$I$6:$I$55,MATCH(A53,ExAnte!$A$6:$A$55,0))),INDEX(ExAnte!$I$6:$I$55,MATCH(A53,ExAnte!$A$6:$A$55,0)),""),""),IF(F53="EP",IF(COUNTIF(ExPost!$A$6:$A$55,A53)=1,IF(ISNUMBER(INDEX(ExPost!$I$6:$I$55,MATCH(A53,ExPost!$A$6:$A$55,0))),INDEX(ExPost!$I$6:$I$55,MATCH(A53,ExPost!$A$6:$A$55,0)),""),""),"")))</x:f>
      </x:c>
      <x:c r="E53" s="41" t="str">
        <x:f>IF(COUNT(C53:D53)=2,IF(C53&gt;=0,C53*D53,""),"")</x:f>
      </x:c>
      <x:c r="F53" s="36"/>
      <x:c r="G53" s="41" t="str">
        <x:f>IF(A53="","",SUMIFS($C$6:$C$155,$A$6:$A$155,A53,$F$6:$F$155,F53))</x:f>
      </x:c>
      <x:c r="H53" s="41" t="str">
        <x:f>IF(A53="","",SUMIFS($E$6:$E$155,$A$6:$A$155,A53,$F$6:$F$155,F53))</x:f>
      </x:c>
      <x:c r="I53" s="41" t="str">
        <x:f>IF(COUNT(D53,H53)=2,H53-D53,"")</x:f>
      </x:c>
      <x:c r="J53" s="41" t="str">
        <x:f>IF(A53="","","ALLOCATION - NOT OBSERVATION")</x:f>
      </x:c>
      <x:c r="K53" s="36"/>
      <x:c r="L53" s="41" t="str">
        <x:f>IF(A53="","",IF(AND(ISNUMBER(E53),K53&lt;&gt;"",ABS(G53-1)&lt;=Profile!$B$18,ABS(I53)&lt;=Profile!$B$18),"ARITHMETIC MATCH","HOLD: WEIGHTS / INPUT"))</x:f>
      </x:c>
    </x:row>
    <x:row r="54" ht="23" customHeight="1">
      <x:c r="A54" s="38"/>
      <x:c r="B54" s="36"/>
      <x:c r="C54" s="36"/>
      <x:c r="D54" s="41" t="str">
        <x:f>IF(A54="","",IF(F54="EA",IF(COUNTIF(ExAnte!$A$6:$A$55,A54)=1,IF(ISNUMBER(INDEX(ExAnte!$I$6:$I$55,MATCH(A54,ExAnte!$A$6:$A$55,0))),INDEX(ExAnte!$I$6:$I$55,MATCH(A54,ExAnte!$A$6:$A$55,0)),""),""),IF(F54="EP",IF(COUNTIF(ExPost!$A$6:$A$55,A54)=1,IF(ISNUMBER(INDEX(ExPost!$I$6:$I$55,MATCH(A54,ExPost!$A$6:$A$55,0))),INDEX(ExPost!$I$6:$I$55,MATCH(A54,ExPost!$A$6:$A$55,0)),""),""),"")))</x:f>
      </x:c>
      <x:c r="E54" s="41" t="str">
        <x:f>IF(COUNT(C54:D54)=2,IF(C54&gt;=0,C54*D54,""),"")</x:f>
      </x:c>
      <x:c r="F54" s="36"/>
      <x:c r="G54" s="41" t="str">
        <x:f>IF(A54="","",SUMIFS($C$6:$C$155,$A$6:$A$155,A54,$F$6:$F$155,F54))</x:f>
      </x:c>
      <x:c r="H54" s="41" t="str">
        <x:f>IF(A54="","",SUMIFS($E$6:$E$155,$A$6:$A$155,A54,$F$6:$F$155,F54))</x:f>
      </x:c>
      <x:c r="I54" s="41" t="str">
        <x:f>IF(COUNT(D54,H54)=2,H54-D54,"")</x:f>
      </x:c>
      <x:c r="J54" s="41" t="str">
        <x:f>IF(A54="","","ALLOCATION - NOT OBSERVATION")</x:f>
      </x:c>
      <x:c r="K54" s="36"/>
      <x:c r="L54" s="41" t="str">
        <x:f>IF(A54="","",IF(AND(ISNUMBER(E54),K54&lt;&gt;"",ABS(G54-1)&lt;=Profile!$B$18,ABS(I54)&lt;=Profile!$B$18),"ARITHMETIC MATCH","HOLD: WEIGHTS / INPUT"))</x:f>
      </x:c>
    </x:row>
    <x:row r="55" ht="23" customHeight="1">
      <x:c r="A55" s="38"/>
      <x:c r="B55" s="36"/>
      <x:c r="C55" s="36"/>
      <x:c r="D55" s="41" t="str">
        <x:f>IF(A55="","",IF(F55="EA",IF(COUNTIF(ExAnte!$A$6:$A$55,A55)=1,IF(ISNUMBER(INDEX(ExAnte!$I$6:$I$55,MATCH(A55,ExAnte!$A$6:$A$55,0))),INDEX(ExAnte!$I$6:$I$55,MATCH(A55,ExAnte!$A$6:$A$55,0)),""),""),IF(F55="EP",IF(COUNTIF(ExPost!$A$6:$A$55,A55)=1,IF(ISNUMBER(INDEX(ExPost!$I$6:$I$55,MATCH(A55,ExPost!$A$6:$A$55,0))),INDEX(ExPost!$I$6:$I$55,MATCH(A55,ExPost!$A$6:$A$55,0)),""),""),"")))</x:f>
      </x:c>
      <x:c r="E55" s="41" t="str">
        <x:f>IF(COUNT(C55:D55)=2,IF(C55&gt;=0,C55*D55,""),"")</x:f>
      </x:c>
      <x:c r="F55" s="36"/>
      <x:c r="G55" s="41" t="str">
        <x:f>IF(A55="","",SUMIFS($C$6:$C$155,$A$6:$A$155,A55,$F$6:$F$155,F55))</x:f>
      </x:c>
      <x:c r="H55" s="41" t="str">
        <x:f>IF(A55="","",SUMIFS($E$6:$E$155,$A$6:$A$155,A55,$F$6:$F$155,F55))</x:f>
      </x:c>
      <x:c r="I55" s="41" t="str">
        <x:f>IF(COUNT(D55,H55)=2,H55-D55,"")</x:f>
      </x:c>
      <x:c r="J55" s="41" t="str">
        <x:f>IF(A55="","","ALLOCATION - NOT OBSERVATION")</x:f>
      </x:c>
      <x:c r="K55" s="36"/>
      <x:c r="L55" s="41" t="str">
        <x:f>IF(A55="","",IF(AND(ISNUMBER(E55),K55&lt;&gt;"",ABS(G55-1)&lt;=Profile!$B$18,ABS(I55)&lt;=Profile!$B$18),"ARITHMETIC MATCH","HOLD: WEIGHTS / INPUT"))</x:f>
      </x:c>
    </x:row>
    <x:row r="56" ht="23" customHeight="1">
      <x:c r="A56" s="38"/>
      <x:c r="B56" s="36"/>
      <x:c r="C56" s="36"/>
      <x:c r="D56" s="41" t="str">
        <x:f>IF(A56="","",IF(F56="EA",IF(COUNTIF(ExAnte!$A$6:$A$55,A56)=1,IF(ISNUMBER(INDEX(ExAnte!$I$6:$I$55,MATCH(A56,ExAnte!$A$6:$A$55,0))),INDEX(ExAnte!$I$6:$I$55,MATCH(A56,ExAnte!$A$6:$A$55,0)),""),""),IF(F56="EP",IF(COUNTIF(ExPost!$A$6:$A$55,A56)=1,IF(ISNUMBER(INDEX(ExPost!$I$6:$I$55,MATCH(A56,ExPost!$A$6:$A$55,0))),INDEX(ExPost!$I$6:$I$55,MATCH(A56,ExPost!$A$6:$A$55,0)),""),""),"")))</x:f>
      </x:c>
      <x:c r="E56" s="41" t="str">
        <x:f>IF(COUNT(C56:D56)=2,IF(C56&gt;=0,C56*D56,""),"")</x:f>
      </x:c>
      <x:c r="F56" s="36"/>
      <x:c r="G56" s="41" t="str">
        <x:f>IF(A56="","",SUMIFS($C$6:$C$155,$A$6:$A$155,A56,$F$6:$F$155,F56))</x:f>
      </x:c>
      <x:c r="H56" s="41" t="str">
        <x:f>IF(A56="","",SUMIFS($E$6:$E$155,$A$6:$A$155,A56,$F$6:$F$155,F56))</x:f>
      </x:c>
      <x:c r="I56" s="41" t="str">
        <x:f>IF(COUNT(D56,H56)=2,H56-D56,"")</x:f>
      </x:c>
      <x:c r="J56" s="41" t="str">
        <x:f>IF(A56="","","ALLOCATION - NOT OBSERVATION")</x:f>
      </x:c>
      <x:c r="K56" s="36"/>
      <x:c r="L56" s="41" t="str">
        <x:f>IF(A56="","",IF(AND(ISNUMBER(E56),K56&lt;&gt;"",ABS(G56-1)&lt;=Profile!$B$18,ABS(I56)&lt;=Profile!$B$18),"ARITHMETIC MATCH","HOLD: WEIGHTS / INPUT"))</x:f>
      </x:c>
    </x:row>
    <x:row r="57" ht="23" customHeight="1">
      <x:c r="A57" s="38"/>
      <x:c r="B57" s="36"/>
      <x:c r="C57" s="36"/>
      <x:c r="D57" s="41" t="str">
        <x:f>IF(A57="","",IF(F57="EA",IF(COUNTIF(ExAnte!$A$6:$A$55,A57)=1,IF(ISNUMBER(INDEX(ExAnte!$I$6:$I$55,MATCH(A57,ExAnte!$A$6:$A$55,0))),INDEX(ExAnte!$I$6:$I$55,MATCH(A57,ExAnte!$A$6:$A$55,0)),""),""),IF(F57="EP",IF(COUNTIF(ExPost!$A$6:$A$55,A57)=1,IF(ISNUMBER(INDEX(ExPost!$I$6:$I$55,MATCH(A57,ExPost!$A$6:$A$55,0))),INDEX(ExPost!$I$6:$I$55,MATCH(A57,ExPost!$A$6:$A$55,0)),""),""),"")))</x:f>
      </x:c>
      <x:c r="E57" s="41" t="str">
        <x:f>IF(COUNT(C57:D57)=2,IF(C57&gt;=0,C57*D57,""),"")</x:f>
      </x:c>
      <x:c r="F57" s="36"/>
      <x:c r="G57" s="41" t="str">
        <x:f>IF(A57="","",SUMIFS($C$6:$C$155,$A$6:$A$155,A57,$F$6:$F$155,F57))</x:f>
      </x:c>
      <x:c r="H57" s="41" t="str">
        <x:f>IF(A57="","",SUMIFS($E$6:$E$155,$A$6:$A$155,A57,$F$6:$F$155,F57))</x:f>
      </x:c>
      <x:c r="I57" s="41" t="str">
        <x:f>IF(COUNT(D57,H57)=2,H57-D57,"")</x:f>
      </x:c>
      <x:c r="J57" s="41" t="str">
        <x:f>IF(A57="","","ALLOCATION - NOT OBSERVATION")</x:f>
      </x:c>
      <x:c r="K57" s="36"/>
      <x:c r="L57" s="41" t="str">
        <x:f>IF(A57="","",IF(AND(ISNUMBER(E57),K57&lt;&gt;"",ABS(G57-1)&lt;=Profile!$B$18,ABS(I57)&lt;=Profile!$B$18),"ARITHMETIC MATCH","HOLD: WEIGHTS / INPUT"))</x:f>
      </x:c>
    </x:row>
    <x:row r="58" ht="23" customHeight="1">
      <x:c r="A58" s="38"/>
      <x:c r="B58" s="36"/>
      <x:c r="C58" s="36"/>
      <x:c r="D58" s="41" t="str">
        <x:f>IF(A58="","",IF(F58="EA",IF(COUNTIF(ExAnte!$A$6:$A$55,A58)=1,IF(ISNUMBER(INDEX(ExAnte!$I$6:$I$55,MATCH(A58,ExAnte!$A$6:$A$55,0))),INDEX(ExAnte!$I$6:$I$55,MATCH(A58,ExAnte!$A$6:$A$55,0)),""),""),IF(F58="EP",IF(COUNTIF(ExPost!$A$6:$A$55,A58)=1,IF(ISNUMBER(INDEX(ExPost!$I$6:$I$55,MATCH(A58,ExPost!$A$6:$A$55,0))),INDEX(ExPost!$I$6:$I$55,MATCH(A58,ExPost!$A$6:$A$55,0)),""),""),"")))</x:f>
      </x:c>
      <x:c r="E58" s="41" t="str">
        <x:f>IF(COUNT(C58:D58)=2,IF(C58&gt;=0,C58*D58,""),"")</x:f>
      </x:c>
      <x:c r="F58" s="36"/>
      <x:c r="G58" s="41" t="str">
        <x:f>IF(A58="","",SUMIFS($C$6:$C$155,$A$6:$A$155,A58,$F$6:$F$155,F58))</x:f>
      </x:c>
      <x:c r="H58" s="41" t="str">
        <x:f>IF(A58="","",SUMIFS($E$6:$E$155,$A$6:$A$155,A58,$F$6:$F$155,F58))</x:f>
      </x:c>
      <x:c r="I58" s="41" t="str">
        <x:f>IF(COUNT(D58,H58)=2,H58-D58,"")</x:f>
      </x:c>
      <x:c r="J58" s="41" t="str">
        <x:f>IF(A58="","","ALLOCATION - NOT OBSERVATION")</x:f>
      </x:c>
      <x:c r="K58" s="36"/>
      <x:c r="L58" s="41" t="str">
        <x:f>IF(A58="","",IF(AND(ISNUMBER(E58),K58&lt;&gt;"",ABS(G58-1)&lt;=Profile!$B$18,ABS(I58)&lt;=Profile!$B$18),"ARITHMETIC MATCH","HOLD: WEIGHTS / INPUT"))</x:f>
      </x:c>
    </x:row>
    <x:row r="59" ht="23" customHeight="1">
      <x:c r="A59" s="38"/>
      <x:c r="B59" s="36"/>
      <x:c r="C59" s="36"/>
      <x:c r="D59" s="41" t="str">
        <x:f>IF(A59="","",IF(F59="EA",IF(COUNTIF(ExAnte!$A$6:$A$55,A59)=1,IF(ISNUMBER(INDEX(ExAnte!$I$6:$I$55,MATCH(A59,ExAnte!$A$6:$A$55,0))),INDEX(ExAnte!$I$6:$I$55,MATCH(A59,ExAnte!$A$6:$A$55,0)),""),""),IF(F59="EP",IF(COUNTIF(ExPost!$A$6:$A$55,A59)=1,IF(ISNUMBER(INDEX(ExPost!$I$6:$I$55,MATCH(A59,ExPost!$A$6:$A$55,0))),INDEX(ExPost!$I$6:$I$55,MATCH(A59,ExPost!$A$6:$A$55,0)),""),""),"")))</x:f>
      </x:c>
      <x:c r="E59" s="41" t="str">
        <x:f>IF(COUNT(C59:D59)=2,IF(C59&gt;=0,C59*D59,""),"")</x:f>
      </x:c>
      <x:c r="F59" s="36"/>
      <x:c r="G59" s="41" t="str">
        <x:f>IF(A59="","",SUMIFS($C$6:$C$155,$A$6:$A$155,A59,$F$6:$F$155,F59))</x:f>
      </x:c>
      <x:c r="H59" s="41" t="str">
        <x:f>IF(A59="","",SUMIFS($E$6:$E$155,$A$6:$A$155,A59,$F$6:$F$155,F59))</x:f>
      </x:c>
      <x:c r="I59" s="41" t="str">
        <x:f>IF(COUNT(D59,H59)=2,H59-D59,"")</x:f>
      </x:c>
      <x:c r="J59" s="41" t="str">
        <x:f>IF(A59="","","ALLOCATION - NOT OBSERVATION")</x:f>
      </x:c>
      <x:c r="K59" s="36"/>
      <x:c r="L59" s="41" t="str">
        <x:f>IF(A59="","",IF(AND(ISNUMBER(E59),K59&lt;&gt;"",ABS(G59-1)&lt;=Profile!$B$18,ABS(I59)&lt;=Profile!$B$18),"ARITHMETIC MATCH","HOLD: WEIGHTS / INPUT"))</x:f>
      </x:c>
    </x:row>
    <x:row r="60" ht="23" customHeight="1">
      <x:c r="A60" s="38"/>
      <x:c r="B60" s="36"/>
      <x:c r="C60" s="36"/>
      <x:c r="D60" s="41" t="str">
        <x:f>IF(A60="","",IF(F60="EA",IF(COUNTIF(ExAnte!$A$6:$A$55,A60)=1,IF(ISNUMBER(INDEX(ExAnte!$I$6:$I$55,MATCH(A60,ExAnte!$A$6:$A$55,0))),INDEX(ExAnte!$I$6:$I$55,MATCH(A60,ExAnte!$A$6:$A$55,0)),""),""),IF(F60="EP",IF(COUNTIF(ExPost!$A$6:$A$55,A60)=1,IF(ISNUMBER(INDEX(ExPost!$I$6:$I$55,MATCH(A60,ExPost!$A$6:$A$55,0))),INDEX(ExPost!$I$6:$I$55,MATCH(A60,ExPost!$A$6:$A$55,0)),""),""),"")))</x:f>
      </x:c>
      <x:c r="E60" s="41" t="str">
        <x:f>IF(COUNT(C60:D60)=2,IF(C60&gt;=0,C60*D60,""),"")</x:f>
      </x:c>
      <x:c r="F60" s="36"/>
      <x:c r="G60" s="41" t="str">
        <x:f>IF(A60="","",SUMIFS($C$6:$C$155,$A$6:$A$155,A60,$F$6:$F$155,F60))</x:f>
      </x:c>
      <x:c r="H60" s="41" t="str">
        <x:f>IF(A60="","",SUMIFS($E$6:$E$155,$A$6:$A$155,A60,$F$6:$F$155,F60))</x:f>
      </x:c>
      <x:c r="I60" s="41" t="str">
        <x:f>IF(COUNT(D60,H60)=2,H60-D60,"")</x:f>
      </x:c>
      <x:c r="J60" s="41" t="str">
        <x:f>IF(A60="","","ALLOCATION - NOT OBSERVATION")</x:f>
      </x:c>
      <x:c r="K60" s="36"/>
      <x:c r="L60" s="41" t="str">
        <x:f>IF(A60="","",IF(AND(ISNUMBER(E60),K60&lt;&gt;"",ABS(G60-1)&lt;=Profile!$B$18,ABS(I60)&lt;=Profile!$B$18),"ARITHMETIC MATCH","HOLD: WEIGHTS / INPUT"))</x:f>
      </x:c>
    </x:row>
    <x:row r="61" ht="23" customHeight="1">
      <x:c r="A61" s="38"/>
      <x:c r="B61" s="36"/>
      <x:c r="C61" s="36"/>
      <x:c r="D61" s="41" t="str">
        <x:f>IF(A61="","",IF(F61="EA",IF(COUNTIF(ExAnte!$A$6:$A$55,A61)=1,IF(ISNUMBER(INDEX(ExAnte!$I$6:$I$55,MATCH(A61,ExAnte!$A$6:$A$55,0))),INDEX(ExAnte!$I$6:$I$55,MATCH(A61,ExAnte!$A$6:$A$55,0)),""),""),IF(F61="EP",IF(COUNTIF(ExPost!$A$6:$A$55,A61)=1,IF(ISNUMBER(INDEX(ExPost!$I$6:$I$55,MATCH(A61,ExPost!$A$6:$A$55,0))),INDEX(ExPost!$I$6:$I$55,MATCH(A61,ExPost!$A$6:$A$55,0)),""),""),"")))</x:f>
      </x:c>
      <x:c r="E61" s="41" t="str">
        <x:f>IF(COUNT(C61:D61)=2,IF(C61&gt;=0,C61*D61,""),"")</x:f>
      </x:c>
      <x:c r="F61" s="36"/>
      <x:c r="G61" s="41" t="str">
        <x:f>IF(A61="","",SUMIFS($C$6:$C$155,$A$6:$A$155,A61,$F$6:$F$155,F61))</x:f>
      </x:c>
      <x:c r="H61" s="41" t="str">
        <x:f>IF(A61="","",SUMIFS($E$6:$E$155,$A$6:$A$155,A61,$F$6:$F$155,F61))</x:f>
      </x:c>
      <x:c r="I61" s="41" t="str">
        <x:f>IF(COUNT(D61,H61)=2,H61-D61,"")</x:f>
      </x:c>
      <x:c r="J61" s="41" t="str">
        <x:f>IF(A61="","","ALLOCATION - NOT OBSERVATION")</x:f>
      </x:c>
      <x:c r="K61" s="36"/>
      <x:c r="L61" s="41" t="str">
        <x:f>IF(A61="","",IF(AND(ISNUMBER(E61),K61&lt;&gt;"",ABS(G61-1)&lt;=Profile!$B$18,ABS(I61)&lt;=Profile!$B$18),"ARITHMETIC MATCH","HOLD: WEIGHTS / INPUT"))</x:f>
      </x:c>
    </x:row>
    <x:row r="62" ht="23" customHeight="1">
      <x:c r="A62" s="38"/>
      <x:c r="B62" s="36"/>
      <x:c r="C62" s="36"/>
      <x:c r="D62" s="41" t="str">
        <x:f>IF(A62="","",IF(F62="EA",IF(COUNTIF(ExAnte!$A$6:$A$55,A62)=1,IF(ISNUMBER(INDEX(ExAnte!$I$6:$I$55,MATCH(A62,ExAnte!$A$6:$A$55,0))),INDEX(ExAnte!$I$6:$I$55,MATCH(A62,ExAnte!$A$6:$A$55,0)),""),""),IF(F62="EP",IF(COUNTIF(ExPost!$A$6:$A$55,A62)=1,IF(ISNUMBER(INDEX(ExPost!$I$6:$I$55,MATCH(A62,ExPost!$A$6:$A$55,0))),INDEX(ExPost!$I$6:$I$55,MATCH(A62,ExPost!$A$6:$A$55,0)),""),""),"")))</x:f>
      </x:c>
      <x:c r="E62" s="41" t="str">
        <x:f>IF(COUNT(C62:D62)=2,IF(C62&gt;=0,C62*D62,""),"")</x:f>
      </x:c>
      <x:c r="F62" s="36"/>
      <x:c r="G62" s="41" t="str">
        <x:f>IF(A62="","",SUMIFS($C$6:$C$155,$A$6:$A$155,A62,$F$6:$F$155,F62))</x:f>
      </x:c>
      <x:c r="H62" s="41" t="str">
        <x:f>IF(A62="","",SUMIFS($E$6:$E$155,$A$6:$A$155,A62,$F$6:$F$155,F62))</x:f>
      </x:c>
      <x:c r="I62" s="41" t="str">
        <x:f>IF(COUNT(D62,H62)=2,H62-D62,"")</x:f>
      </x:c>
      <x:c r="J62" s="41" t="str">
        <x:f>IF(A62="","","ALLOCATION - NOT OBSERVATION")</x:f>
      </x:c>
      <x:c r="K62" s="36"/>
      <x:c r="L62" s="41" t="str">
        <x:f>IF(A62="","",IF(AND(ISNUMBER(E62),K62&lt;&gt;"",ABS(G62-1)&lt;=Profile!$B$18,ABS(I62)&lt;=Profile!$B$18),"ARITHMETIC MATCH","HOLD: WEIGHTS / INPUT"))</x:f>
      </x:c>
    </x:row>
    <x:row r="63" ht="23" customHeight="1">
      <x:c r="A63" s="38"/>
      <x:c r="B63" s="36"/>
      <x:c r="C63" s="36"/>
      <x:c r="D63" s="41" t="str">
        <x:f>IF(A63="","",IF(F63="EA",IF(COUNTIF(ExAnte!$A$6:$A$55,A63)=1,IF(ISNUMBER(INDEX(ExAnte!$I$6:$I$55,MATCH(A63,ExAnte!$A$6:$A$55,0))),INDEX(ExAnte!$I$6:$I$55,MATCH(A63,ExAnte!$A$6:$A$55,0)),""),""),IF(F63="EP",IF(COUNTIF(ExPost!$A$6:$A$55,A63)=1,IF(ISNUMBER(INDEX(ExPost!$I$6:$I$55,MATCH(A63,ExPost!$A$6:$A$55,0))),INDEX(ExPost!$I$6:$I$55,MATCH(A63,ExPost!$A$6:$A$55,0)),""),""),"")))</x:f>
      </x:c>
      <x:c r="E63" s="41" t="str">
        <x:f>IF(COUNT(C63:D63)=2,IF(C63&gt;=0,C63*D63,""),"")</x:f>
      </x:c>
      <x:c r="F63" s="36"/>
      <x:c r="G63" s="41" t="str">
        <x:f>IF(A63="","",SUMIFS($C$6:$C$155,$A$6:$A$155,A63,$F$6:$F$155,F63))</x:f>
      </x:c>
      <x:c r="H63" s="41" t="str">
        <x:f>IF(A63="","",SUMIFS($E$6:$E$155,$A$6:$A$155,A63,$F$6:$F$155,F63))</x:f>
      </x:c>
      <x:c r="I63" s="41" t="str">
        <x:f>IF(COUNT(D63,H63)=2,H63-D63,"")</x:f>
      </x:c>
      <x:c r="J63" s="41" t="str">
        <x:f>IF(A63="","","ALLOCATION - NOT OBSERVATION")</x:f>
      </x:c>
      <x:c r="K63" s="36"/>
      <x:c r="L63" s="41" t="str">
        <x:f>IF(A63="","",IF(AND(ISNUMBER(E63),K63&lt;&gt;"",ABS(G63-1)&lt;=Profile!$B$18,ABS(I63)&lt;=Profile!$B$18),"ARITHMETIC MATCH","HOLD: WEIGHTS / INPUT"))</x:f>
      </x:c>
    </x:row>
    <x:row r="64" ht="23" customHeight="1">
      <x:c r="A64" s="38"/>
      <x:c r="B64" s="36"/>
      <x:c r="C64" s="36"/>
      <x:c r="D64" s="41" t="str">
        <x:f>IF(A64="","",IF(F64="EA",IF(COUNTIF(ExAnte!$A$6:$A$55,A64)=1,IF(ISNUMBER(INDEX(ExAnte!$I$6:$I$55,MATCH(A64,ExAnte!$A$6:$A$55,0))),INDEX(ExAnte!$I$6:$I$55,MATCH(A64,ExAnte!$A$6:$A$55,0)),""),""),IF(F64="EP",IF(COUNTIF(ExPost!$A$6:$A$55,A64)=1,IF(ISNUMBER(INDEX(ExPost!$I$6:$I$55,MATCH(A64,ExPost!$A$6:$A$55,0))),INDEX(ExPost!$I$6:$I$55,MATCH(A64,ExPost!$A$6:$A$55,0)),""),""),"")))</x:f>
      </x:c>
      <x:c r="E64" s="41" t="str">
        <x:f>IF(COUNT(C64:D64)=2,IF(C64&gt;=0,C64*D64,""),"")</x:f>
      </x:c>
      <x:c r="F64" s="36"/>
      <x:c r="G64" s="41" t="str">
        <x:f>IF(A64="","",SUMIFS($C$6:$C$155,$A$6:$A$155,A64,$F$6:$F$155,F64))</x:f>
      </x:c>
      <x:c r="H64" s="41" t="str">
        <x:f>IF(A64="","",SUMIFS($E$6:$E$155,$A$6:$A$155,A64,$F$6:$F$155,F64))</x:f>
      </x:c>
      <x:c r="I64" s="41" t="str">
        <x:f>IF(COUNT(D64,H64)=2,H64-D64,"")</x:f>
      </x:c>
      <x:c r="J64" s="41" t="str">
        <x:f>IF(A64="","","ALLOCATION - NOT OBSERVATION")</x:f>
      </x:c>
      <x:c r="K64" s="36"/>
      <x:c r="L64" s="41" t="str">
        <x:f>IF(A64="","",IF(AND(ISNUMBER(E64),K64&lt;&gt;"",ABS(G64-1)&lt;=Profile!$B$18,ABS(I64)&lt;=Profile!$B$18),"ARITHMETIC MATCH","HOLD: WEIGHTS / INPUT"))</x:f>
      </x:c>
    </x:row>
    <x:row r="65" ht="23" customHeight="1">
      <x:c r="A65" s="38"/>
      <x:c r="B65" s="36"/>
      <x:c r="C65" s="36"/>
      <x:c r="D65" s="41" t="str">
        <x:f>IF(A65="","",IF(F65="EA",IF(COUNTIF(ExAnte!$A$6:$A$55,A65)=1,IF(ISNUMBER(INDEX(ExAnte!$I$6:$I$55,MATCH(A65,ExAnte!$A$6:$A$55,0))),INDEX(ExAnte!$I$6:$I$55,MATCH(A65,ExAnte!$A$6:$A$55,0)),""),""),IF(F65="EP",IF(COUNTIF(ExPost!$A$6:$A$55,A65)=1,IF(ISNUMBER(INDEX(ExPost!$I$6:$I$55,MATCH(A65,ExPost!$A$6:$A$55,0))),INDEX(ExPost!$I$6:$I$55,MATCH(A65,ExPost!$A$6:$A$55,0)),""),""),"")))</x:f>
      </x:c>
      <x:c r="E65" s="41" t="str">
        <x:f>IF(COUNT(C65:D65)=2,IF(C65&gt;=0,C65*D65,""),"")</x:f>
      </x:c>
      <x:c r="F65" s="36"/>
      <x:c r="G65" s="41" t="str">
        <x:f>IF(A65="","",SUMIFS($C$6:$C$155,$A$6:$A$155,A65,$F$6:$F$155,F65))</x:f>
      </x:c>
      <x:c r="H65" s="41" t="str">
        <x:f>IF(A65="","",SUMIFS($E$6:$E$155,$A$6:$A$155,A65,$F$6:$F$155,F65))</x:f>
      </x:c>
      <x:c r="I65" s="41" t="str">
        <x:f>IF(COUNT(D65,H65)=2,H65-D65,"")</x:f>
      </x:c>
      <x:c r="J65" s="41" t="str">
        <x:f>IF(A65="","","ALLOCATION - NOT OBSERVATION")</x:f>
      </x:c>
      <x:c r="K65" s="36"/>
      <x:c r="L65" s="41" t="str">
        <x:f>IF(A65="","",IF(AND(ISNUMBER(E65),K65&lt;&gt;"",ABS(G65-1)&lt;=Profile!$B$18,ABS(I65)&lt;=Profile!$B$18),"ARITHMETIC MATCH","HOLD: WEIGHTS / INPUT"))</x:f>
      </x:c>
    </x:row>
    <x:row r="66" ht="23" customHeight="1">
      <x:c r="A66" s="38"/>
      <x:c r="B66" s="36"/>
      <x:c r="C66" s="36"/>
      <x:c r="D66" s="41" t="str">
        <x:f>IF(A66="","",IF(F66="EA",IF(COUNTIF(ExAnte!$A$6:$A$55,A66)=1,IF(ISNUMBER(INDEX(ExAnte!$I$6:$I$55,MATCH(A66,ExAnte!$A$6:$A$55,0))),INDEX(ExAnte!$I$6:$I$55,MATCH(A66,ExAnte!$A$6:$A$55,0)),""),""),IF(F66="EP",IF(COUNTIF(ExPost!$A$6:$A$55,A66)=1,IF(ISNUMBER(INDEX(ExPost!$I$6:$I$55,MATCH(A66,ExPost!$A$6:$A$55,0))),INDEX(ExPost!$I$6:$I$55,MATCH(A66,ExPost!$A$6:$A$55,0)),""),""),"")))</x:f>
      </x:c>
      <x:c r="E66" s="41" t="str">
        <x:f>IF(COUNT(C66:D66)=2,IF(C66&gt;=0,C66*D66,""),"")</x:f>
      </x:c>
      <x:c r="F66" s="36"/>
      <x:c r="G66" s="41" t="str">
        <x:f>IF(A66="","",SUMIFS($C$6:$C$155,$A$6:$A$155,A66,$F$6:$F$155,F66))</x:f>
      </x:c>
      <x:c r="H66" s="41" t="str">
        <x:f>IF(A66="","",SUMIFS($E$6:$E$155,$A$6:$A$155,A66,$F$6:$F$155,F66))</x:f>
      </x:c>
      <x:c r="I66" s="41" t="str">
        <x:f>IF(COUNT(D66,H66)=2,H66-D66,"")</x:f>
      </x:c>
      <x:c r="J66" s="41" t="str">
        <x:f>IF(A66="","","ALLOCATION - NOT OBSERVATION")</x:f>
      </x:c>
      <x:c r="K66" s="36"/>
      <x:c r="L66" s="41" t="str">
        <x:f>IF(A66="","",IF(AND(ISNUMBER(E66),K66&lt;&gt;"",ABS(G66-1)&lt;=Profile!$B$18,ABS(I66)&lt;=Profile!$B$18),"ARITHMETIC MATCH","HOLD: WEIGHTS / INPUT"))</x:f>
      </x:c>
    </x:row>
    <x:row r="67" ht="23" customHeight="1">
      <x:c r="A67" s="38"/>
      <x:c r="B67" s="36"/>
      <x:c r="C67" s="36"/>
      <x:c r="D67" s="41" t="str">
        <x:f>IF(A67="","",IF(F67="EA",IF(COUNTIF(ExAnte!$A$6:$A$55,A67)=1,IF(ISNUMBER(INDEX(ExAnte!$I$6:$I$55,MATCH(A67,ExAnte!$A$6:$A$55,0))),INDEX(ExAnte!$I$6:$I$55,MATCH(A67,ExAnte!$A$6:$A$55,0)),""),""),IF(F67="EP",IF(COUNTIF(ExPost!$A$6:$A$55,A67)=1,IF(ISNUMBER(INDEX(ExPost!$I$6:$I$55,MATCH(A67,ExPost!$A$6:$A$55,0))),INDEX(ExPost!$I$6:$I$55,MATCH(A67,ExPost!$A$6:$A$55,0)),""),""),"")))</x:f>
      </x:c>
      <x:c r="E67" s="41" t="str">
        <x:f>IF(COUNT(C67:D67)=2,IF(C67&gt;=0,C67*D67,""),"")</x:f>
      </x:c>
      <x:c r="F67" s="36"/>
      <x:c r="G67" s="41" t="str">
        <x:f>IF(A67="","",SUMIFS($C$6:$C$155,$A$6:$A$155,A67,$F$6:$F$155,F67))</x:f>
      </x:c>
      <x:c r="H67" s="41" t="str">
        <x:f>IF(A67="","",SUMIFS($E$6:$E$155,$A$6:$A$155,A67,$F$6:$F$155,F67))</x:f>
      </x:c>
      <x:c r="I67" s="41" t="str">
        <x:f>IF(COUNT(D67,H67)=2,H67-D67,"")</x:f>
      </x:c>
      <x:c r="J67" s="41" t="str">
        <x:f>IF(A67="","","ALLOCATION - NOT OBSERVATION")</x:f>
      </x:c>
      <x:c r="K67" s="36"/>
      <x:c r="L67" s="41" t="str">
        <x:f>IF(A67="","",IF(AND(ISNUMBER(E67),K67&lt;&gt;"",ABS(G67-1)&lt;=Profile!$B$18,ABS(I67)&lt;=Profile!$B$18),"ARITHMETIC MATCH","HOLD: WEIGHTS / INPUT"))</x:f>
      </x:c>
    </x:row>
    <x:row r="68" ht="23" customHeight="1">
      <x:c r="A68" s="38"/>
      <x:c r="B68" s="36"/>
      <x:c r="C68" s="36"/>
      <x:c r="D68" s="41" t="str">
        <x:f>IF(A68="","",IF(F68="EA",IF(COUNTIF(ExAnte!$A$6:$A$55,A68)=1,IF(ISNUMBER(INDEX(ExAnte!$I$6:$I$55,MATCH(A68,ExAnte!$A$6:$A$55,0))),INDEX(ExAnte!$I$6:$I$55,MATCH(A68,ExAnte!$A$6:$A$55,0)),""),""),IF(F68="EP",IF(COUNTIF(ExPost!$A$6:$A$55,A68)=1,IF(ISNUMBER(INDEX(ExPost!$I$6:$I$55,MATCH(A68,ExPost!$A$6:$A$55,0))),INDEX(ExPost!$I$6:$I$55,MATCH(A68,ExPost!$A$6:$A$55,0)),""),""),"")))</x:f>
      </x:c>
      <x:c r="E68" s="41" t="str">
        <x:f>IF(COUNT(C68:D68)=2,IF(C68&gt;=0,C68*D68,""),"")</x:f>
      </x:c>
      <x:c r="F68" s="36"/>
      <x:c r="G68" s="41" t="str">
        <x:f>IF(A68="","",SUMIFS($C$6:$C$155,$A$6:$A$155,A68,$F$6:$F$155,F68))</x:f>
      </x:c>
      <x:c r="H68" s="41" t="str">
        <x:f>IF(A68="","",SUMIFS($E$6:$E$155,$A$6:$A$155,A68,$F$6:$F$155,F68))</x:f>
      </x:c>
      <x:c r="I68" s="41" t="str">
        <x:f>IF(COUNT(D68,H68)=2,H68-D68,"")</x:f>
      </x:c>
      <x:c r="J68" s="41" t="str">
        <x:f>IF(A68="","","ALLOCATION - NOT OBSERVATION")</x:f>
      </x:c>
      <x:c r="K68" s="36"/>
      <x:c r="L68" s="41" t="str">
        <x:f>IF(A68="","",IF(AND(ISNUMBER(E68),K68&lt;&gt;"",ABS(G68-1)&lt;=Profile!$B$18,ABS(I68)&lt;=Profile!$B$18),"ARITHMETIC MATCH","HOLD: WEIGHTS / INPUT"))</x:f>
      </x:c>
    </x:row>
    <x:row r="69" ht="23" customHeight="1">
      <x:c r="A69" s="38"/>
      <x:c r="B69" s="36"/>
      <x:c r="C69" s="36"/>
      <x:c r="D69" s="41" t="str">
        <x:f>IF(A69="","",IF(F69="EA",IF(COUNTIF(ExAnte!$A$6:$A$55,A69)=1,IF(ISNUMBER(INDEX(ExAnte!$I$6:$I$55,MATCH(A69,ExAnte!$A$6:$A$55,0))),INDEX(ExAnte!$I$6:$I$55,MATCH(A69,ExAnte!$A$6:$A$55,0)),""),""),IF(F69="EP",IF(COUNTIF(ExPost!$A$6:$A$55,A69)=1,IF(ISNUMBER(INDEX(ExPost!$I$6:$I$55,MATCH(A69,ExPost!$A$6:$A$55,0))),INDEX(ExPost!$I$6:$I$55,MATCH(A69,ExPost!$A$6:$A$55,0)),""),""),"")))</x:f>
      </x:c>
      <x:c r="E69" s="41" t="str">
        <x:f>IF(COUNT(C69:D69)=2,IF(C69&gt;=0,C69*D69,""),"")</x:f>
      </x:c>
      <x:c r="F69" s="36"/>
      <x:c r="G69" s="41" t="str">
        <x:f>IF(A69="","",SUMIFS($C$6:$C$155,$A$6:$A$155,A69,$F$6:$F$155,F69))</x:f>
      </x:c>
      <x:c r="H69" s="41" t="str">
        <x:f>IF(A69="","",SUMIFS($E$6:$E$155,$A$6:$A$155,A69,$F$6:$F$155,F69))</x:f>
      </x:c>
      <x:c r="I69" s="41" t="str">
        <x:f>IF(COUNT(D69,H69)=2,H69-D69,"")</x:f>
      </x:c>
      <x:c r="J69" s="41" t="str">
        <x:f>IF(A69="","","ALLOCATION - NOT OBSERVATION")</x:f>
      </x:c>
      <x:c r="K69" s="36"/>
      <x:c r="L69" s="41" t="str">
        <x:f>IF(A69="","",IF(AND(ISNUMBER(E69),K69&lt;&gt;"",ABS(G69-1)&lt;=Profile!$B$18,ABS(I69)&lt;=Profile!$B$18),"ARITHMETIC MATCH","HOLD: WEIGHTS / INPUT"))</x:f>
      </x:c>
    </x:row>
    <x:row r="70" ht="23" customHeight="1">
      <x:c r="A70" s="38"/>
      <x:c r="B70" s="36"/>
      <x:c r="C70" s="36"/>
      <x:c r="D70" s="41" t="str">
        <x:f>IF(A70="","",IF(F70="EA",IF(COUNTIF(ExAnte!$A$6:$A$55,A70)=1,IF(ISNUMBER(INDEX(ExAnte!$I$6:$I$55,MATCH(A70,ExAnte!$A$6:$A$55,0))),INDEX(ExAnte!$I$6:$I$55,MATCH(A70,ExAnte!$A$6:$A$55,0)),""),""),IF(F70="EP",IF(COUNTIF(ExPost!$A$6:$A$55,A70)=1,IF(ISNUMBER(INDEX(ExPost!$I$6:$I$55,MATCH(A70,ExPost!$A$6:$A$55,0))),INDEX(ExPost!$I$6:$I$55,MATCH(A70,ExPost!$A$6:$A$55,0)),""),""),"")))</x:f>
      </x:c>
      <x:c r="E70" s="41" t="str">
        <x:f>IF(COUNT(C70:D70)=2,IF(C70&gt;=0,C70*D70,""),"")</x:f>
      </x:c>
      <x:c r="F70" s="36"/>
      <x:c r="G70" s="41" t="str">
        <x:f>IF(A70="","",SUMIFS($C$6:$C$155,$A$6:$A$155,A70,$F$6:$F$155,F70))</x:f>
      </x:c>
      <x:c r="H70" s="41" t="str">
        <x:f>IF(A70="","",SUMIFS($E$6:$E$155,$A$6:$A$155,A70,$F$6:$F$155,F70))</x:f>
      </x:c>
      <x:c r="I70" s="41" t="str">
        <x:f>IF(COUNT(D70,H70)=2,H70-D70,"")</x:f>
      </x:c>
      <x:c r="J70" s="41" t="str">
        <x:f>IF(A70="","","ALLOCATION - NOT OBSERVATION")</x:f>
      </x:c>
      <x:c r="K70" s="36"/>
      <x:c r="L70" s="41" t="str">
        <x:f>IF(A70="","",IF(AND(ISNUMBER(E70),K70&lt;&gt;"",ABS(G70-1)&lt;=Profile!$B$18,ABS(I70)&lt;=Profile!$B$18),"ARITHMETIC MATCH","HOLD: WEIGHTS / INPUT"))</x:f>
      </x:c>
    </x:row>
    <x:row r="71" ht="23" customHeight="1">
      <x:c r="A71" s="38"/>
      <x:c r="B71" s="36"/>
      <x:c r="C71" s="36"/>
      <x:c r="D71" s="41" t="str">
        <x:f>IF(A71="","",IF(F71="EA",IF(COUNTIF(ExAnte!$A$6:$A$55,A71)=1,IF(ISNUMBER(INDEX(ExAnte!$I$6:$I$55,MATCH(A71,ExAnte!$A$6:$A$55,0))),INDEX(ExAnte!$I$6:$I$55,MATCH(A71,ExAnte!$A$6:$A$55,0)),""),""),IF(F71="EP",IF(COUNTIF(ExPost!$A$6:$A$55,A71)=1,IF(ISNUMBER(INDEX(ExPost!$I$6:$I$55,MATCH(A71,ExPost!$A$6:$A$55,0))),INDEX(ExPost!$I$6:$I$55,MATCH(A71,ExPost!$A$6:$A$55,0)),""),""),"")))</x:f>
      </x:c>
      <x:c r="E71" s="41" t="str">
        <x:f>IF(COUNT(C71:D71)=2,IF(C71&gt;=0,C71*D71,""),"")</x:f>
      </x:c>
      <x:c r="F71" s="36"/>
      <x:c r="G71" s="41" t="str">
        <x:f>IF(A71="","",SUMIFS($C$6:$C$155,$A$6:$A$155,A71,$F$6:$F$155,F71))</x:f>
      </x:c>
      <x:c r="H71" s="41" t="str">
        <x:f>IF(A71="","",SUMIFS($E$6:$E$155,$A$6:$A$155,A71,$F$6:$F$155,F71))</x:f>
      </x:c>
      <x:c r="I71" s="41" t="str">
        <x:f>IF(COUNT(D71,H71)=2,H71-D71,"")</x:f>
      </x:c>
      <x:c r="J71" s="41" t="str">
        <x:f>IF(A71="","","ALLOCATION - NOT OBSERVATION")</x:f>
      </x:c>
      <x:c r="K71" s="36"/>
      <x:c r="L71" s="41" t="str">
        <x:f>IF(A71="","",IF(AND(ISNUMBER(E71),K71&lt;&gt;"",ABS(G71-1)&lt;=Profile!$B$18,ABS(I71)&lt;=Profile!$B$18),"ARITHMETIC MATCH","HOLD: WEIGHTS / INPUT"))</x:f>
      </x:c>
    </x:row>
    <x:row r="72" ht="23" customHeight="1">
      <x:c r="A72" s="38"/>
      <x:c r="B72" s="36"/>
      <x:c r="C72" s="36"/>
      <x:c r="D72" s="41" t="str">
        <x:f>IF(A72="","",IF(F72="EA",IF(COUNTIF(ExAnte!$A$6:$A$55,A72)=1,IF(ISNUMBER(INDEX(ExAnte!$I$6:$I$55,MATCH(A72,ExAnte!$A$6:$A$55,0))),INDEX(ExAnte!$I$6:$I$55,MATCH(A72,ExAnte!$A$6:$A$55,0)),""),""),IF(F72="EP",IF(COUNTIF(ExPost!$A$6:$A$55,A72)=1,IF(ISNUMBER(INDEX(ExPost!$I$6:$I$55,MATCH(A72,ExPost!$A$6:$A$55,0))),INDEX(ExPost!$I$6:$I$55,MATCH(A72,ExPost!$A$6:$A$55,0)),""),""),"")))</x:f>
      </x:c>
      <x:c r="E72" s="41" t="str">
        <x:f>IF(COUNT(C72:D72)=2,IF(C72&gt;=0,C72*D72,""),"")</x:f>
      </x:c>
      <x:c r="F72" s="36"/>
      <x:c r="G72" s="41" t="str">
        <x:f>IF(A72="","",SUMIFS($C$6:$C$155,$A$6:$A$155,A72,$F$6:$F$155,F72))</x:f>
      </x:c>
      <x:c r="H72" s="41" t="str">
        <x:f>IF(A72="","",SUMIFS($E$6:$E$155,$A$6:$A$155,A72,$F$6:$F$155,F72))</x:f>
      </x:c>
      <x:c r="I72" s="41" t="str">
        <x:f>IF(COUNT(D72,H72)=2,H72-D72,"")</x:f>
      </x:c>
      <x:c r="J72" s="41" t="str">
        <x:f>IF(A72="","","ALLOCATION - NOT OBSERVATION")</x:f>
      </x:c>
      <x:c r="K72" s="36"/>
      <x:c r="L72" s="41" t="str">
        <x:f>IF(A72="","",IF(AND(ISNUMBER(E72),K72&lt;&gt;"",ABS(G72-1)&lt;=Profile!$B$18,ABS(I72)&lt;=Profile!$B$18),"ARITHMETIC MATCH","HOLD: WEIGHTS / INPUT"))</x:f>
      </x:c>
    </x:row>
    <x:row r="73" ht="23" customHeight="1">
      <x:c r="A73" s="38"/>
      <x:c r="B73" s="36"/>
      <x:c r="C73" s="36"/>
      <x:c r="D73" s="41" t="str">
        <x:f>IF(A73="","",IF(F73="EA",IF(COUNTIF(ExAnte!$A$6:$A$55,A73)=1,IF(ISNUMBER(INDEX(ExAnte!$I$6:$I$55,MATCH(A73,ExAnte!$A$6:$A$55,0))),INDEX(ExAnte!$I$6:$I$55,MATCH(A73,ExAnte!$A$6:$A$55,0)),""),""),IF(F73="EP",IF(COUNTIF(ExPost!$A$6:$A$55,A73)=1,IF(ISNUMBER(INDEX(ExPost!$I$6:$I$55,MATCH(A73,ExPost!$A$6:$A$55,0))),INDEX(ExPost!$I$6:$I$55,MATCH(A73,ExPost!$A$6:$A$55,0)),""),""),"")))</x:f>
      </x:c>
      <x:c r="E73" s="41" t="str">
        <x:f>IF(COUNT(C73:D73)=2,IF(C73&gt;=0,C73*D73,""),"")</x:f>
      </x:c>
      <x:c r="F73" s="36"/>
      <x:c r="G73" s="41" t="str">
        <x:f>IF(A73="","",SUMIFS($C$6:$C$155,$A$6:$A$155,A73,$F$6:$F$155,F73))</x:f>
      </x:c>
      <x:c r="H73" s="41" t="str">
        <x:f>IF(A73="","",SUMIFS($E$6:$E$155,$A$6:$A$155,A73,$F$6:$F$155,F73))</x:f>
      </x:c>
      <x:c r="I73" s="41" t="str">
        <x:f>IF(COUNT(D73,H73)=2,H73-D73,"")</x:f>
      </x:c>
      <x:c r="J73" s="41" t="str">
        <x:f>IF(A73="","","ALLOCATION - NOT OBSERVATION")</x:f>
      </x:c>
      <x:c r="K73" s="36"/>
      <x:c r="L73" s="41" t="str">
        <x:f>IF(A73="","",IF(AND(ISNUMBER(E73),K73&lt;&gt;"",ABS(G73-1)&lt;=Profile!$B$18,ABS(I73)&lt;=Profile!$B$18),"ARITHMETIC MATCH","HOLD: WEIGHTS / INPUT"))</x:f>
      </x:c>
    </x:row>
    <x:row r="74" ht="23" customHeight="1">
      <x:c r="A74" s="38"/>
      <x:c r="B74" s="36"/>
      <x:c r="C74" s="36"/>
      <x:c r="D74" s="41" t="str">
        <x:f>IF(A74="","",IF(F74="EA",IF(COUNTIF(ExAnte!$A$6:$A$55,A74)=1,IF(ISNUMBER(INDEX(ExAnte!$I$6:$I$55,MATCH(A74,ExAnte!$A$6:$A$55,0))),INDEX(ExAnte!$I$6:$I$55,MATCH(A74,ExAnte!$A$6:$A$55,0)),""),""),IF(F74="EP",IF(COUNTIF(ExPost!$A$6:$A$55,A74)=1,IF(ISNUMBER(INDEX(ExPost!$I$6:$I$55,MATCH(A74,ExPost!$A$6:$A$55,0))),INDEX(ExPost!$I$6:$I$55,MATCH(A74,ExPost!$A$6:$A$55,0)),""),""),"")))</x:f>
      </x:c>
      <x:c r="E74" s="41" t="str">
        <x:f>IF(COUNT(C74:D74)=2,IF(C74&gt;=0,C74*D74,""),"")</x:f>
      </x:c>
      <x:c r="F74" s="36"/>
      <x:c r="G74" s="41" t="str">
        <x:f>IF(A74="","",SUMIFS($C$6:$C$155,$A$6:$A$155,A74,$F$6:$F$155,F74))</x:f>
      </x:c>
      <x:c r="H74" s="41" t="str">
        <x:f>IF(A74="","",SUMIFS($E$6:$E$155,$A$6:$A$155,A74,$F$6:$F$155,F74))</x:f>
      </x:c>
      <x:c r="I74" s="41" t="str">
        <x:f>IF(COUNT(D74,H74)=2,H74-D74,"")</x:f>
      </x:c>
      <x:c r="J74" s="41" t="str">
        <x:f>IF(A74="","","ALLOCATION - NOT OBSERVATION")</x:f>
      </x:c>
      <x:c r="K74" s="36"/>
      <x:c r="L74" s="41" t="str">
        <x:f>IF(A74="","",IF(AND(ISNUMBER(E74),K74&lt;&gt;"",ABS(G74-1)&lt;=Profile!$B$18,ABS(I74)&lt;=Profile!$B$18),"ARITHMETIC MATCH","HOLD: WEIGHTS / INPUT"))</x:f>
      </x:c>
    </x:row>
    <x:row r="75" ht="23" customHeight="1">
      <x:c r="A75" s="38"/>
      <x:c r="B75" s="36"/>
      <x:c r="C75" s="36"/>
      <x:c r="D75" s="41" t="str">
        <x:f>IF(A75="","",IF(F75="EA",IF(COUNTIF(ExAnte!$A$6:$A$55,A75)=1,IF(ISNUMBER(INDEX(ExAnte!$I$6:$I$55,MATCH(A75,ExAnte!$A$6:$A$55,0))),INDEX(ExAnte!$I$6:$I$55,MATCH(A75,ExAnte!$A$6:$A$55,0)),""),""),IF(F75="EP",IF(COUNTIF(ExPost!$A$6:$A$55,A75)=1,IF(ISNUMBER(INDEX(ExPost!$I$6:$I$55,MATCH(A75,ExPost!$A$6:$A$55,0))),INDEX(ExPost!$I$6:$I$55,MATCH(A75,ExPost!$A$6:$A$55,0)),""),""),"")))</x:f>
      </x:c>
      <x:c r="E75" s="41" t="str">
        <x:f>IF(COUNT(C75:D75)=2,IF(C75&gt;=0,C75*D75,""),"")</x:f>
      </x:c>
      <x:c r="F75" s="36"/>
      <x:c r="G75" s="41" t="str">
        <x:f>IF(A75="","",SUMIFS($C$6:$C$155,$A$6:$A$155,A75,$F$6:$F$155,F75))</x:f>
      </x:c>
      <x:c r="H75" s="41" t="str">
        <x:f>IF(A75="","",SUMIFS($E$6:$E$155,$A$6:$A$155,A75,$F$6:$F$155,F75))</x:f>
      </x:c>
      <x:c r="I75" s="41" t="str">
        <x:f>IF(COUNT(D75,H75)=2,H75-D75,"")</x:f>
      </x:c>
      <x:c r="J75" s="41" t="str">
        <x:f>IF(A75="","","ALLOCATION - NOT OBSERVATION")</x:f>
      </x:c>
      <x:c r="K75" s="36"/>
      <x:c r="L75" s="41" t="str">
        <x:f>IF(A75="","",IF(AND(ISNUMBER(E75),K75&lt;&gt;"",ABS(G75-1)&lt;=Profile!$B$18,ABS(I75)&lt;=Profile!$B$18),"ARITHMETIC MATCH","HOLD: WEIGHTS / INPUT"))</x:f>
      </x:c>
    </x:row>
    <x:row r="76" ht="23" customHeight="1">
      <x:c r="A76" s="38"/>
      <x:c r="B76" s="36"/>
      <x:c r="C76" s="36"/>
      <x:c r="D76" s="41" t="str">
        <x:f>IF(A76="","",IF(F76="EA",IF(COUNTIF(ExAnte!$A$6:$A$55,A76)=1,IF(ISNUMBER(INDEX(ExAnte!$I$6:$I$55,MATCH(A76,ExAnte!$A$6:$A$55,0))),INDEX(ExAnte!$I$6:$I$55,MATCH(A76,ExAnte!$A$6:$A$55,0)),""),""),IF(F76="EP",IF(COUNTIF(ExPost!$A$6:$A$55,A76)=1,IF(ISNUMBER(INDEX(ExPost!$I$6:$I$55,MATCH(A76,ExPost!$A$6:$A$55,0))),INDEX(ExPost!$I$6:$I$55,MATCH(A76,ExPost!$A$6:$A$55,0)),""),""),"")))</x:f>
      </x:c>
      <x:c r="E76" s="41" t="str">
        <x:f>IF(COUNT(C76:D76)=2,IF(C76&gt;=0,C76*D76,""),"")</x:f>
      </x:c>
      <x:c r="F76" s="36"/>
      <x:c r="G76" s="41" t="str">
        <x:f>IF(A76="","",SUMIFS($C$6:$C$155,$A$6:$A$155,A76,$F$6:$F$155,F76))</x:f>
      </x:c>
      <x:c r="H76" s="41" t="str">
        <x:f>IF(A76="","",SUMIFS($E$6:$E$155,$A$6:$A$155,A76,$F$6:$F$155,F76))</x:f>
      </x:c>
      <x:c r="I76" s="41" t="str">
        <x:f>IF(COUNT(D76,H76)=2,H76-D76,"")</x:f>
      </x:c>
      <x:c r="J76" s="41" t="str">
        <x:f>IF(A76="","","ALLOCATION - NOT OBSERVATION")</x:f>
      </x:c>
      <x:c r="K76" s="36"/>
      <x:c r="L76" s="41" t="str">
        <x:f>IF(A76="","",IF(AND(ISNUMBER(E76),K76&lt;&gt;"",ABS(G76-1)&lt;=Profile!$B$18,ABS(I76)&lt;=Profile!$B$18),"ARITHMETIC MATCH","HOLD: WEIGHTS / INPUT"))</x:f>
      </x:c>
    </x:row>
    <x:row r="77" ht="23" customHeight="1">
      <x:c r="A77" s="38"/>
      <x:c r="B77" s="36"/>
      <x:c r="C77" s="36"/>
      <x:c r="D77" s="41" t="str">
        <x:f>IF(A77="","",IF(F77="EA",IF(COUNTIF(ExAnte!$A$6:$A$55,A77)=1,IF(ISNUMBER(INDEX(ExAnte!$I$6:$I$55,MATCH(A77,ExAnte!$A$6:$A$55,0))),INDEX(ExAnte!$I$6:$I$55,MATCH(A77,ExAnte!$A$6:$A$55,0)),""),""),IF(F77="EP",IF(COUNTIF(ExPost!$A$6:$A$55,A77)=1,IF(ISNUMBER(INDEX(ExPost!$I$6:$I$55,MATCH(A77,ExPost!$A$6:$A$55,0))),INDEX(ExPost!$I$6:$I$55,MATCH(A77,ExPost!$A$6:$A$55,0)),""),""),"")))</x:f>
      </x:c>
      <x:c r="E77" s="41" t="str">
        <x:f>IF(COUNT(C77:D77)=2,IF(C77&gt;=0,C77*D77,""),"")</x:f>
      </x:c>
      <x:c r="F77" s="36"/>
      <x:c r="G77" s="41" t="str">
        <x:f>IF(A77="","",SUMIFS($C$6:$C$155,$A$6:$A$155,A77,$F$6:$F$155,F77))</x:f>
      </x:c>
      <x:c r="H77" s="41" t="str">
        <x:f>IF(A77="","",SUMIFS($E$6:$E$155,$A$6:$A$155,A77,$F$6:$F$155,F77))</x:f>
      </x:c>
      <x:c r="I77" s="41" t="str">
        <x:f>IF(COUNT(D77,H77)=2,H77-D77,"")</x:f>
      </x:c>
      <x:c r="J77" s="41" t="str">
        <x:f>IF(A77="","","ALLOCATION - NOT OBSERVATION")</x:f>
      </x:c>
      <x:c r="K77" s="36"/>
      <x:c r="L77" s="41" t="str">
        <x:f>IF(A77="","",IF(AND(ISNUMBER(E77),K77&lt;&gt;"",ABS(G77-1)&lt;=Profile!$B$18,ABS(I77)&lt;=Profile!$B$18),"ARITHMETIC MATCH","HOLD: WEIGHTS / INPUT"))</x:f>
      </x:c>
    </x:row>
    <x:row r="78" ht="23" customHeight="1">
      <x:c r="A78" s="38"/>
      <x:c r="B78" s="36"/>
      <x:c r="C78" s="36"/>
      <x:c r="D78" s="41" t="str">
        <x:f>IF(A78="","",IF(F78="EA",IF(COUNTIF(ExAnte!$A$6:$A$55,A78)=1,IF(ISNUMBER(INDEX(ExAnte!$I$6:$I$55,MATCH(A78,ExAnte!$A$6:$A$55,0))),INDEX(ExAnte!$I$6:$I$55,MATCH(A78,ExAnte!$A$6:$A$55,0)),""),""),IF(F78="EP",IF(COUNTIF(ExPost!$A$6:$A$55,A78)=1,IF(ISNUMBER(INDEX(ExPost!$I$6:$I$55,MATCH(A78,ExPost!$A$6:$A$55,0))),INDEX(ExPost!$I$6:$I$55,MATCH(A78,ExPost!$A$6:$A$55,0)),""),""),"")))</x:f>
      </x:c>
      <x:c r="E78" s="41" t="str">
        <x:f>IF(COUNT(C78:D78)=2,IF(C78&gt;=0,C78*D78,""),"")</x:f>
      </x:c>
      <x:c r="F78" s="36"/>
      <x:c r="G78" s="41" t="str">
        <x:f>IF(A78="","",SUMIFS($C$6:$C$155,$A$6:$A$155,A78,$F$6:$F$155,F78))</x:f>
      </x:c>
      <x:c r="H78" s="41" t="str">
        <x:f>IF(A78="","",SUMIFS($E$6:$E$155,$A$6:$A$155,A78,$F$6:$F$155,F78))</x:f>
      </x:c>
      <x:c r="I78" s="41" t="str">
        <x:f>IF(COUNT(D78,H78)=2,H78-D78,"")</x:f>
      </x:c>
      <x:c r="J78" s="41" t="str">
        <x:f>IF(A78="","","ALLOCATION - NOT OBSERVATION")</x:f>
      </x:c>
      <x:c r="K78" s="36"/>
      <x:c r="L78" s="41" t="str">
        <x:f>IF(A78="","",IF(AND(ISNUMBER(E78),K78&lt;&gt;"",ABS(G78-1)&lt;=Profile!$B$18,ABS(I78)&lt;=Profile!$B$18),"ARITHMETIC MATCH","HOLD: WEIGHTS / INPUT"))</x:f>
      </x:c>
    </x:row>
    <x:row r="79" ht="23" customHeight="1">
      <x:c r="A79" s="38"/>
      <x:c r="B79" s="36"/>
      <x:c r="C79" s="36"/>
      <x:c r="D79" s="41" t="str">
        <x:f>IF(A79="","",IF(F79="EA",IF(COUNTIF(ExAnte!$A$6:$A$55,A79)=1,IF(ISNUMBER(INDEX(ExAnte!$I$6:$I$55,MATCH(A79,ExAnte!$A$6:$A$55,0))),INDEX(ExAnte!$I$6:$I$55,MATCH(A79,ExAnte!$A$6:$A$55,0)),""),""),IF(F79="EP",IF(COUNTIF(ExPost!$A$6:$A$55,A79)=1,IF(ISNUMBER(INDEX(ExPost!$I$6:$I$55,MATCH(A79,ExPost!$A$6:$A$55,0))),INDEX(ExPost!$I$6:$I$55,MATCH(A79,ExPost!$A$6:$A$55,0)),""),""),"")))</x:f>
      </x:c>
      <x:c r="E79" s="41" t="str">
        <x:f>IF(COUNT(C79:D79)=2,IF(C79&gt;=0,C79*D79,""),"")</x:f>
      </x:c>
      <x:c r="F79" s="36"/>
      <x:c r="G79" s="41" t="str">
        <x:f>IF(A79="","",SUMIFS($C$6:$C$155,$A$6:$A$155,A79,$F$6:$F$155,F79))</x:f>
      </x:c>
      <x:c r="H79" s="41" t="str">
        <x:f>IF(A79="","",SUMIFS($E$6:$E$155,$A$6:$A$155,A79,$F$6:$F$155,F79))</x:f>
      </x:c>
      <x:c r="I79" s="41" t="str">
        <x:f>IF(COUNT(D79,H79)=2,H79-D79,"")</x:f>
      </x:c>
      <x:c r="J79" s="41" t="str">
        <x:f>IF(A79="","","ALLOCATION - NOT OBSERVATION")</x:f>
      </x:c>
      <x:c r="K79" s="36"/>
      <x:c r="L79" s="41" t="str">
        <x:f>IF(A79="","",IF(AND(ISNUMBER(E79),K79&lt;&gt;"",ABS(G79-1)&lt;=Profile!$B$18,ABS(I79)&lt;=Profile!$B$18),"ARITHMETIC MATCH","HOLD: WEIGHTS / INPUT"))</x:f>
      </x:c>
    </x:row>
    <x:row r="80" ht="23" customHeight="1">
      <x:c r="A80" s="38"/>
      <x:c r="B80" s="36"/>
      <x:c r="C80" s="36"/>
      <x:c r="D80" s="41" t="str">
        <x:f>IF(A80="","",IF(F80="EA",IF(COUNTIF(ExAnte!$A$6:$A$55,A80)=1,IF(ISNUMBER(INDEX(ExAnte!$I$6:$I$55,MATCH(A80,ExAnte!$A$6:$A$55,0))),INDEX(ExAnte!$I$6:$I$55,MATCH(A80,ExAnte!$A$6:$A$55,0)),""),""),IF(F80="EP",IF(COUNTIF(ExPost!$A$6:$A$55,A80)=1,IF(ISNUMBER(INDEX(ExPost!$I$6:$I$55,MATCH(A80,ExPost!$A$6:$A$55,0))),INDEX(ExPost!$I$6:$I$55,MATCH(A80,ExPost!$A$6:$A$55,0)),""),""),"")))</x:f>
      </x:c>
      <x:c r="E80" s="41" t="str">
        <x:f>IF(COUNT(C80:D80)=2,IF(C80&gt;=0,C80*D80,""),"")</x:f>
      </x:c>
      <x:c r="F80" s="36"/>
      <x:c r="G80" s="41" t="str">
        <x:f>IF(A80="","",SUMIFS($C$6:$C$155,$A$6:$A$155,A80,$F$6:$F$155,F80))</x:f>
      </x:c>
      <x:c r="H80" s="41" t="str">
        <x:f>IF(A80="","",SUMIFS($E$6:$E$155,$A$6:$A$155,A80,$F$6:$F$155,F80))</x:f>
      </x:c>
      <x:c r="I80" s="41" t="str">
        <x:f>IF(COUNT(D80,H80)=2,H80-D80,"")</x:f>
      </x:c>
      <x:c r="J80" s="41" t="str">
        <x:f>IF(A80="","","ALLOCATION - NOT OBSERVATION")</x:f>
      </x:c>
      <x:c r="K80" s="36"/>
      <x:c r="L80" s="41" t="str">
        <x:f>IF(A80="","",IF(AND(ISNUMBER(E80),K80&lt;&gt;"",ABS(G80-1)&lt;=Profile!$B$18,ABS(I80)&lt;=Profile!$B$18),"ARITHMETIC MATCH","HOLD: WEIGHTS / INPUT"))</x:f>
      </x:c>
    </x:row>
    <x:row r="81" ht="23" customHeight="1">
      <x:c r="A81" s="38"/>
      <x:c r="B81" s="36"/>
      <x:c r="C81" s="36"/>
      <x:c r="D81" s="41" t="str">
        <x:f>IF(A81="","",IF(F81="EA",IF(COUNTIF(ExAnte!$A$6:$A$55,A81)=1,IF(ISNUMBER(INDEX(ExAnte!$I$6:$I$55,MATCH(A81,ExAnte!$A$6:$A$55,0))),INDEX(ExAnte!$I$6:$I$55,MATCH(A81,ExAnte!$A$6:$A$55,0)),""),""),IF(F81="EP",IF(COUNTIF(ExPost!$A$6:$A$55,A81)=1,IF(ISNUMBER(INDEX(ExPost!$I$6:$I$55,MATCH(A81,ExPost!$A$6:$A$55,0))),INDEX(ExPost!$I$6:$I$55,MATCH(A81,ExPost!$A$6:$A$55,0)),""),""),"")))</x:f>
      </x:c>
      <x:c r="E81" s="41" t="str">
        <x:f>IF(COUNT(C81:D81)=2,IF(C81&gt;=0,C81*D81,""),"")</x:f>
      </x:c>
      <x:c r="F81" s="36"/>
      <x:c r="G81" s="41" t="str">
        <x:f>IF(A81="","",SUMIFS($C$6:$C$155,$A$6:$A$155,A81,$F$6:$F$155,F81))</x:f>
      </x:c>
      <x:c r="H81" s="41" t="str">
        <x:f>IF(A81="","",SUMIFS($E$6:$E$155,$A$6:$A$155,A81,$F$6:$F$155,F81))</x:f>
      </x:c>
      <x:c r="I81" s="41" t="str">
        <x:f>IF(COUNT(D81,H81)=2,H81-D81,"")</x:f>
      </x:c>
      <x:c r="J81" s="41" t="str">
        <x:f>IF(A81="","","ALLOCATION - NOT OBSERVATION")</x:f>
      </x:c>
      <x:c r="K81" s="36"/>
      <x:c r="L81" s="41" t="str">
        <x:f>IF(A81="","",IF(AND(ISNUMBER(E81),K81&lt;&gt;"",ABS(G81-1)&lt;=Profile!$B$18,ABS(I81)&lt;=Profile!$B$18),"ARITHMETIC MATCH","HOLD: WEIGHTS / INPUT"))</x:f>
      </x:c>
    </x:row>
    <x:row r="82" ht="23" customHeight="1">
      <x:c r="A82" s="38"/>
      <x:c r="B82" s="36"/>
      <x:c r="C82" s="36"/>
      <x:c r="D82" s="41" t="str">
        <x:f>IF(A82="","",IF(F82="EA",IF(COUNTIF(ExAnte!$A$6:$A$55,A82)=1,IF(ISNUMBER(INDEX(ExAnte!$I$6:$I$55,MATCH(A82,ExAnte!$A$6:$A$55,0))),INDEX(ExAnte!$I$6:$I$55,MATCH(A82,ExAnte!$A$6:$A$55,0)),""),""),IF(F82="EP",IF(COUNTIF(ExPost!$A$6:$A$55,A82)=1,IF(ISNUMBER(INDEX(ExPost!$I$6:$I$55,MATCH(A82,ExPost!$A$6:$A$55,0))),INDEX(ExPost!$I$6:$I$55,MATCH(A82,ExPost!$A$6:$A$55,0)),""),""),"")))</x:f>
      </x:c>
      <x:c r="E82" s="41" t="str">
        <x:f>IF(COUNT(C82:D82)=2,IF(C82&gt;=0,C82*D82,""),"")</x:f>
      </x:c>
      <x:c r="F82" s="36"/>
      <x:c r="G82" s="41" t="str">
        <x:f>IF(A82="","",SUMIFS($C$6:$C$155,$A$6:$A$155,A82,$F$6:$F$155,F82))</x:f>
      </x:c>
      <x:c r="H82" s="41" t="str">
        <x:f>IF(A82="","",SUMIFS($E$6:$E$155,$A$6:$A$155,A82,$F$6:$F$155,F82))</x:f>
      </x:c>
      <x:c r="I82" s="41" t="str">
        <x:f>IF(COUNT(D82,H82)=2,H82-D82,"")</x:f>
      </x:c>
      <x:c r="J82" s="41" t="str">
        <x:f>IF(A82="","","ALLOCATION - NOT OBSERVATION")</x:f>
      </x:c>
      <x:c r="K82" s="36"/>
      <x:c r="L82" s="41" t="str">
        <x:f>IF(A82="","",IF(AND(ISNUMBER(E82),K82&lt;&gt;"",ABS(G82-1)&lt;=Profile!$B$18,ABS(I82)&lt;=Profile!$B$18),"ARITHMETIC MATCH","HOLD: WEIGHTS / INPUT"))</x:f>
      </x:c>
    </x:row>
    <x:row r="83" ht="23" customHeight="1">
      <x:c r="A83" s="38"/>
      <x:c r="B83" s="36"/>
      <x:c r="C83" s="36"/>
      <x:c r="D83" s="41" t="str">
        <x:f>IF(A83="","",IF(F83="EA",IF(COUNTIF(ExAnte!$A$6:$A$55,A83)=1,IF(ISNUMBER(INDEX(ExAnte!$I$6:$I$55,MATCH(A83,ExAnte!$A$6:$A$55,0))),INDEX(ExAnte!$I$6:$I$55,MATCH(A83,ExAnte!$A$6:$A$55,0)),""),""),IF(F83="EP",IF(COUNTIF(ExPost!$A$6:$A$55,A83)=1,IF(ISNUMBER(INDEX(ExPost!$I$6:$I$55,MATCH(A83,ExPost!$A$6:$A$55,0))),INDEX(ExPost!$I$6:$I$55,MATCH(A83,ExPost!$A$6:$A$55,0)),""),""),"")))</x:f>
      </x:c>
      <x:c r="E83" s="41" t="str">
        <x:f>IF(COUNT(C83:D83)=2,IF(C83&gt;=0,C83*D83,""),"")</x:f>
      </x:c>
      <x:c r="F83" s="36"/>
      <x:c r="G83" s="41" t="str">
        <x:f>IF(A83="","",SUMIFS($C$6:$C$155,$A$6:$A$155,A83,$F$6:$F$155,F83))</x:f>
      </x:c>
      <x:c r="H83" s="41" t="str">
        <x:f>IF(A83="","",SUMIFS($E$6:$E$155,$A$6:$A$155,A83,$F$6:$F$155,F83))</x:f>
      </x:c>
      <x:c r="I83" s="41" t="str">
        <x:f>IF(COUNT(D83,H83)=2,H83-D83,"")</x:f>
      </x:c>
      <x:c r="J83" s="41" t="str">
        <x:f>IF(A83="","","ALLOCATION - NOT OBSERVATION")</x:f>
      </x:c>
      <x:c r="K83" s="36"/>
      <x:c r="L83" s="41" t="str">
        <x:f>IF(A83="","",IF(AND(ISNUMBER(E83),K83&lt;&gt;"",ABS(G83-1)&lt;=Profile!$B$18,ABS(I83)&lt;=Profile!$B$18),"ARITHMETIC MATCH","HOLD: WEIGHTS / INPUT"))</x:f>
      </x:c>
    </x:row>
    <x:row r="84" ht="23" customHeight="1">
      <x:c r="A84" s="38"/>
      <x:c r="B84" s="36"/>
      <x:c r="C84" s="36"/>
      <x:c r="D84" s="41" t="str">
        <x:f>IF(A84="","",IF(F84="EA",IF(COUNTIF(ExAnte!$A$6:$A$55,A84)=1,IF(ISNUMBER(INDEX(ExAnte!$I$6:$I$55,MATCH(A84,ExAnte!$A$6:$A$55,0))),INDEX(ExAnte!$I$6:$I$55,MATCH(A84,ExAnte!$A$6:$A$55,0)),""),""),IF(F84="EP",IF(COUNTIF(ExPost!$A$6:$A$55,A84)=1,IF(ISNUMBER(INDEX(ExPost!$I$6:$I$55,MATCH(A84,ExPost!$A$6:$A$55,0))),INDEX(ExPost!$I$6:$I$55,MATCH(A84,ExPost!$A$6:$A$55,0)),""),""),"")))</x:f>
      </x:c>
      <x:c r="E84" s="41" t="str">
        <x:f>IF(COUNT(C84:D84)=2,IF(C84&gt;=0,C84*D84,""),"")</x:f>
      </x:c>
      <x:c r="F84" s="36"/>
      <x:c r="G84" s="41" t="str">
        <x:f>IF(A84="","",SUMIFS($C$6:$C$155,$A$6:$A$155,A84,$F$6:$F$155,F84))</x:f>
      </x:c>
      <x:c r="H84" s="41" t="str">
        <x:f>IF(A84="","",SUMIFS($E$6:$E$155,$A$6:$A$155,A84,$F$6:$F$155,F84))</x:f>
      </x:c>
      <x:c r="I84" s="41" t="str">
        <x:f>IF(COUNT(D84,H84)=2,H84-D84,"")</x:f>
      </x:c>
      <x:c r="J84" s="41" t="str">
        <x:f>IF(A84="","","ALLOCATION - NOT OBSERVATION")</x:f>
      </x:c>
      <x:c r="K84" s="36"/>
      <x:c r="L84" s="41" t="str">
        <x:f>IF(A84="","",IF(AND(ISNUMBER(E84),K84&lt;&gt;"",ABS(G84-1)&lt;=Profile!$B$18,ABS(I84)&lt;=Profile!$B$18),"ARITHMETIC MATCH","HOLD: WEIGHTS / INPUT"))</x:f>
      </x:c>
    </x:row>
    <x:row r="85" ht="23" customHeight="1">
      <x:c r="A85" s="38"/>
      <x:c r="B85" s="36"/>
      <x:c r="C85" s="36"/>
      <x:c r="D85" s="41" t="str">
        <x:f>IF(A85="","",IF(F85="EA",IF(COUNTIF(ExAnte!$A$6:$A$55,A85)=1,IF(ISNUMBER(INDEX(ExAnte!$I$6:$I$55,MATCH(A85,ExAnte!$A$6:$A$55,0))),INDEX(ExAnte!$I$6:$I$55,MATCH(A85,ExAnte!$A$6:$A$55,0)),""),""),IF(F85="EP",IF(COUNTIF(ExPost!$A$6:$A$55,A85)=1,IF(ISNUMBER(INDEX(ExPost!$I$6:$I$55,MATCH(A85,ExPost!$A$6:$A$55,0))),INDEX(ExPost!$I$6:$I$55,MATCH(A85,ExPost!$A$6:$A$55,0)),""),""),"")))</x:f>
      </x:c>
      <x:c r="E85" s="41" t="str">
        <x:f>IF(COUNT(C85:D85)=2,IF(C85&gt;=0,C85*D85,""),"")</x:f>
      </x:c>
      <x:c r="F85" s="36"/>
      <x:c r="G85" s="41" t="str">
        <x:f>IF(A85="","",SUMIFS($C$6:$C$155,$A$6:$A$155,A85,$F$6:$F$155,F85))</x:f>
      </x:c>
      <x:c r="H85" s="41" t="str">
        <x:f>IF(A85="","",SUMIFS($E$6:$E$155,$A$6:$A$155,A85,$F$6:$F$155,F85))</x:f>
      </x:c>
      <x:c r="I85" s="41" t="str">
        <x:f>IF(COUNT(D85,H85)=2,H85-D85,"")</x:f>
      </x:c>
      <x:c r="J85" s="41" t="str">
        <x:f>IF(A85="","","ALLOCATION - NOT OBSERVATION")</x:f>
      </x:c>
      <x:c r="K85" s="36"/>
      <x:c r="L85" s="41" t="str">
        <x:f>IF(A85="","",IF(AND(ISNUMBER(E85),K85&lt;&gt;"",ABS(G85-1)&lt;=Profile!$B$18,ABS(I85)&lt;=Profile!$B$18),"ARITHMETIC MATCH","HOLD: WEIGHTS / INPUT"))</x:f>
      </x:c>
    </x:row>
    <x:row r="86" ht="23" customHeight="1">
      <x:c r="A86" s="38"/>
      <x:c r="B86" s="36"/>
      <x:c r="C86" s="36"/>
      <x:c r="D86" s="41" t="str">
        <x:f>IF(A86="","",IF(F86="EA",IF(COUNTIF(ExAnte!$A$6:$A$55,A86)=1,IF(ISNUMBER(INDEX(ExAnte!$I$6:$I$55,MATCH(A86,ExAnte!$A$6:$A$55,0))),INDEX(ExAnte!$I$6:$I$55,MATCH(A86,ExAnte!$A$6:$A$55,0)),""),""),IF(F86="EP",IF(COUNTIF(ExPost!$A$6:$A$55,A86)=1,IF(ISNUMBER(INDEX(ExPost!$I$6:$I$55,MATCH(A86,ExPost!$A$6:$A$55,0))),INDEX(ExPost!$I$6:$I$55,MATCH(A86,ExPost!$A$6:$A$55,0)),""),""),"")))</x:f>
      </x:c>
      <x:c r="E86" s="41" t="str">
        <x:f>IF(COUNT(C86:D86)=2,IF(C86&gt;=0,C86*D86,""),"")</x:f>
      </x:c>
      <x:c r="F86" s="36"/>
      <x:c r="G86" s="41" t="str">
        <x:f>IF(A86="","",SUMIFS($C$6:$C$155,$A$6:$A$155,A86,$F$6:$F$155,F86))</x:f>
      </x:c>
      <x:c r="H86" s="41" t="str">
        <x:f>IF(A86="","",SUMIFS($E$6:$E$155,$A$6:$A$155,A86,$F$6:$F$155,F86))</x:f>
      </x:c>
      <x:c r="I86" s="41" t="str">
        <x:f>IF(COUNT(D86,H86)=2,H86-D86,"")</x:f>
      </x:c>
      <x:c r="J86" s="41" t="str">
        <x:f>IF(A86="","","ALLOCATION - NOT OBSERVATION")</x:f>
      </x:c>
      <x:c r="K86" s="36"/>
      <x:c r="L86" s="41" t="str">
        <x:f>IF(A86="","",IF(AND(ISNUMBER(E86),K86&lt;&gt;"",ABS(G86-1)&lt;=Profile!$B$18,ABS(I86)&lt;=Profile!$B$18),"ARITHMETIC MATCH","HOLD: WEIGHTS / INPUT"))</x:f>
      </x:c>
    </x:row>
    <x:row r="87" ht="23" customHeight="1">
      <x:c r="A87" s="38"/>
      <x:c r="B87" s="36"/>
      <x:c r="C87" s="36"/>
      <x:c r="D87" s="41" t="str">
        <x:f>IF(A87="","",IF(F87="EA",IF(COUNTIF(ExAnte!$A$6:$A$55,A87)=1,IF(ISNUMBER(INDEX(ExAnte!$I$6:$I$55,MATCH(A87,ExAnte!$A$6:$A$55,0))),INDEX(ExAnte!$I$6:$I$55,MATCH(A87,ExAnte!$A$6:$A$55,0)),""),""),IF(F87="EP",IF(COUNTIF(ExPost!$A$6:$A$55,A87)=1,IF(ISNUMBER(INDEX(ExPost!$I$6:$I$55,MATCH(A87,ExPost!$A$6:$A$55,0))),INDEX(ExPost!$I$6:$I$55,MATCH(A87,ExPost!$A$6:$A$55,0)),""),""),"")))</x:f>
      </x:c>
      <x:c r="E87" s="41" t="str">
        <x:f>IF(COUNT(C87:D87)=2,IF(C87&gt;=0,C87*D87,""),"")</x:f>
      </x:c>
      <x:c r="F87" s="36"/>
      <x:c r="G87" s="41" t="str">
        <x:f>IF(A87="","",SUMIFS($C$6:$C$155,$A$6:$A$155,A87,$F$6:$F$155,F87))</x:f>
      </x:c>
      <x:c r="H87" s="41" t="str">
        <x:f>IF(A87="","",SUMIFS($E$6:$E$155,$A$6:$A$155,A87,$F$6:$F$155,F87))</x:f>
      </x:c>
      <x:c r="I87" s="41" t="str">
        <x:f>IF(COUNT(D87,H87)=2,H87-D87,"")</x:f>
      </x:c>
      <x:c r="J87" s="41" t="str">
        <x:f>IF(A87="","","ALLOCATION - NOT OBSERVATION")</x:f>
      </x:c>
      <x:c r="K87" s="36"/>
      <x:c r="L87" s="41" t="str">
        <x:f>IF(A87="","",IF(AND(ISNUMBER(E87),K87&lt;&gt;"",ABS(G87-1)&lt;=Profile!$B$18,ABS(I87)&lt;=Profile!$B$18),"ARITHMETIC MATCH","HOLD: WEIGHTS / INPUT"))</x:f>
      </x:c>
    </x:row>
    <x:row r="88" ht="23" customHeight="1">
      <x:c r="A88" s="38"/>
      <x:c r="B88" s="36"/>
      <x:c r="C88" s="36"/>
      <x:c r="D88" s="41" t="str">
        <x:f>IF(A88="","",IF(F88="EA",IF(COUNTIF(ExAnte!$A$6:$A$55,A88)=1,IF(ISNUMBER(INDEX(ExAnte!$I$6:$I$55,MATCH(A88,ExAnte!$A$6:$A$55,0))),INDEX(ExAnte!$I$6:$I$55,MATCH(A88,ExAnte!$A$6:$A$55,0)),""),""),IF(F88="EP",IF(COUNTIF(ExPost!$A$6:$A$55,A88)=1,IF(ISNUMBER(INDEX(ExPost!$I$6:$I$55,MATCH(A88,ExPost!$A$6:$A$55,0))),INDEX(ExPost!$I$6:$I$55,MATCH(A88,ExPost!$A$6:$A$55,0)),""),""),"")))</x:f>
      </x:c>
      <x:c r="E88" s="41" t="str">
        <x:f>IF(COUNT(C88:D88)=2,IF(C88&gt;=0,C88*D88,""),"")</x:f>
      </x:c>
      <x:c r="F88" s="36"/>
      <x:c r="G88" s="41" t="str">
        <x:f>IF(A88="","",SUMIFS($C$6:$C$155,$A$6:$A$155,A88,$F$6:$F$155,F88))</x:f>
      </x:c>
      <x:c r="H88" s="41" t="str">
        <x:f>IF(A88="","",SUMIFS($E$6:$E$155,$A$6:$A$155,A88,$F$6:$F$155,F88))</x:f>
      </x:c>
      <x:c r="I88" s="41" t="str">
        <x:f>IF(COUNT(D88,H88)=2,H88-D88,"")</x:f>
      </x:c>
      <x:c r="J88" s="41" t="str">
        <x:f>IF(A88="","","ALLOCATION - NOT OBSERVATION")</x:f>
      </x:c>
      <x:c r="K88" s="36"/>
      <x:c r="L88" s="41" t="str">
        <x:f>IF(A88="","",IF(AND(ISNUMBER(E88),K88&lt;&gt;"",ABS(G88-1)&lt;=Profile!$B$18,ABS(I88)&lt;=Profile!$B$18),"ARITHMETIC MATCH","HOLD: WEIGHTS / INPUT"))</x:f>
      </x:c>
    </x:row>
    <x:row r="89" ht="23" customHeight="1">
      <x:c r="A89" s="38"/>
      <x:c r="B89" s="36"/>
      <x:c r="C89" s="36"/>
      <x:c r="D89" s="41" t="str">
        <x:f>IF(A89="","",IF(F89="EA",IF(COUNTIF(ExAnte!$A$6:$A$55,A89)=1,IF(ISNUMBER(INDEX(ExAnte!$I$6:$I$55,MATCH(A89,ExAnte!$A$6:$A$55,0))),INDEX(ExAnte!$I$6:$I$55,MATCH(A89,ExAnte!$A$6:$A$55,0)),""),""),IF(F89="EP",IF(COUNTIF(ExPost!$A$6:$A$55,A89)=1,IF(ISNUMBER(INDEX(ExPost!$I$6:$I$55,MATCH(A89,ExPost!$A$6:$A$55,0))),INDEX(ExPost!$I$6:$I$55,MATCH(A89,ExPost!$A$6:$A$55,0)),""),""),"")))</x:f>
      </x:c>
      <x:c r="E89" s="41" t="str">
        <x:f>IF(COUNT(C89:D89)=2,IF(C89&gt;=0,C89*D89,""),"")</x:f>
      </x:c>
      <x:c r="F89" s="36"/>
      <x:c r="G89" s="41" t="str">
        <x:f>IF(A89="","",SUMIFS($C$6:$C$155,$A$6:$A$155,A89,$F$6:$F$155,F89))</x:f>
      </x:c>
      <x:c r="H89" s="41" t="str">
        <x:f>IF(A89="","",SUMIFS($E$6:$E$155,$A$6:$A$155,A89,$F$6:$F$155,F89))</x:f>
      </x:c>
      <x:c r="I89" s="41" t="str">
        <x:f>IF(COUNT(D89,H89)=2,H89-D89,"")</x:f>
      </x:c>
      <x:c r="J89" s="41" t="str">
        <x:f>IF(A89="","","ALLOCATION - NOT OBSERVATION")</x:f>
      </x:c>
      <x:c r="K89" s="36"/>
      <x:c r="L89" s="41" t="str">
        <x:f>IF(A89="","",IF(AND(ISNUMBER(E89),K89&lt;&gt;"",ABS(G89-1)&lt;=Profile!$B$18,ABS(I89)&lt;=Profile!$B$18),"ARITHMETIC MATCH","HOLD: WEIGHTS / INPUT"))</x:f>
      </x:c>
    </x:row>
    <x:row r="90" ht="23" customHeight="1">
      <x:c r="A90" s="38"/>
      <x:c r="B90" s="36"/>
      <x:c r="C90" s="36"/>
      <x:c r="D90" s="41" t="str">
        <x:f>IF(A90="","",IF(F90="EA",IF(COUNTIF(ExAnte!$A$6:$A$55,A90)=1,IF(ISNUMBER(INDEX(ExAnte!$I$6:$I$55,MATCH(A90,ExAnte!$A$6:$A$55,0))),INDEX(ExAnte!$I$6:$I$55,MATCH(A90,ExAnte!$A$6:$A$55,0)),""),""),IF(F90="EP",IF(COUNTIF(ExPost!$A$6:$A$55,A90)=1,IF(ISNUMBER(INDEX(ExPost!$I$6:$I$55,MATCH(A90,ExPost!$A$6:$A$55,0))),INDEX(ExPost!$I$6:$I$55,MATCH(A90,ExPost!$A$6:$A$55,0)),""),""),"")))</x:f>
      </x:c>
      <x:c r="E90" s="41" t="str">
        <x:f>IF(COUNT(C90:D90)=2,IF(C90&gt;=0,C90*D90,""),"")</x:f>
      </x:c>
      <x:c r="F90" s="36"/>
      <x:c r="G90" s="41" t="str">
        <x:f>IF(A90="","",SUMIFS($C$6:$C$155,$A$6:$A$155,A90,$F$6:$F$155,F90))</x:f>
      </x:c>
      <x:c r="H90" s="41" t="str">
        <x:f>IF(A90="","",SUMIFS($E$6:$E$155,$A$6:$A$155,A90,$F$6:$F$155,F90))</x:f>
      </x:c>
      <x:c r="I90" s="41" t="str">
        <x:f>IF(COUNT(D90,H90)=2,H90-D90,"")</x:f>
      </x:c>
      <x:c r="J90" s="41" t="str">
        <x:f>IF(A90="","","ALLOCATION - NOT OBSERVATION")</x:f>
      </x:c>
      <x:c r="K90" s="36"/>
      <x:c r="L90" s="41" t="str">
        <x:f>IF(A90="","",IF(AND(ISNUMBER(E90),K90&lt;&gt;"",ABS(G90-1)&lt;=Profile!$B$18,ABS(I90)&lt;=Profile!$B$18),"ARITHMETIC MATCH","HOLD: WEIGHTS / INPUT"))</x:f>
      </x:c>
    </x:row>
    <x:row r="91" ht="23" customHeight="1">
      <x:c r="A91" s="38"/>
      <x:c r="B91" s="36"/>
      <x:c r="C91" s="36"/>
      <x:c r="D91" s="41" t="str">
        <x:f>IF(A91="","",IF(F91="EA",IF(COUNTIF(ExAnte!$A$6:$A$55,A91)=1,IF(ISNUMBER(INDEX(ExAnte!$I$6:$I$55,MATCH(A91,ExAnte!$A$6:$A$55,0))),INDEX(ExAnte!$I$6:$I$55,MATCH(A91,ExAnte!$A$6:$A$55,0)),""),""),IF(F91="EP",IF(COUNTIF(ExPost!$A$6:$A$55,A91)=1,IF(ISNUMBER(INDEX(ExPost!$I$6:$I$55,MATCH(A91,ExPost!$A$6:$A$55,0))),INDEX(ExPost!$I$6:$I$55,MATCH(A91,ExPost!$A$6:$A$55,0)),""),""),"")))</x:f>
      </x:c>
      <x:c r="E91" s="41" t="str">
        <x:f>IF(COUNT(C91:D91)=2,IF(C91&gt;=0,C91*D91,""),"")</x:f>
      </x:c>
      <x:c r="F91" s="36"/>
      <x:c r="G91" s="41" t="str">
        <x:f>IF(A91="","",SUMIFS($C$6:$C$155,$A$6:$A$155,A91,$F$6:$F$155,F91))</x:f>
      </x:c>
      <x:c r="H91" s="41" t="str">
        <x:f>IF(A91="","",SUMIFS($E$6:$E$155,$A$6:$A$155,A91,$F$6:$F$155,F91))</x:f>
      </x:c>
      <x:c r="I91" s="41" t="str">
        <x:f>IF(COUNT(D91,H91)=2,H91-D91,"")</x:f>
      </x:c>
      <x:c r="J91" s="41" t="str">
        <x:f>IF(A91="","","ALLOCATION - NOT OBSERVATION")</x:f>
      </x:c>
      <x:c r="K91" s="36"/>
      <x:c r="L91" s="41" t="str">
        <x:f>IF(A91="","",IF(AND(ISNUMBER(E91),K91&lt;&gt;"",ABS(G91-1)&lt;=Profile!$B$18,ABS(I91)&lt;=Profile!$B$18),"ARITHMETIC MATCH","HOLD: WEIGHTS / INPUT"))</x:f>
      </x:c>
    </x:row>
    <x:row r="92" ht="23" customHeight="1">
      <x:c r="A92" s="38"/>
      <x:c r="B92" s="36"/>
      <x:c r="C92" s="36"/>
      <x:c r="D92" s="41" t="str">
        <x:f>IF(A92="","",IF(F92="EA",IF(COUNTIF(ExAnte!$A$6:$A$55,A92)=1,IF(ISNUMBER(INDEX(ExAnte!$I$6:$I$55,MATCH(A92,ExAnte!$A$6:$A$55,0))),INDEX(ExAnte!$I$6:$I$55,MATCH(A92,ExAnte!$A$6:$A$55,0)),""),""),IF(F92="EP",IF(COUNTIF(ExPost!$A$6:$A$55,A92)=1,IF(ISNUMBER(INDEX(ExPost!$I$6:$I$55,MATCH(A92,ExPost!$A$6:$A$55,0))),INDEX(ExPost!$I$6:$I$55,MATCH(A92,ExPost!$A$6:$A$55,0)),""),""),"")))</x:f>
      </x:c>
      <x:c r="E92" s="41" t="str">
        <x:f>IF(COUNT(C92:D92)=2,IF(C92&gt;=0,C92*D92,""),"")</x:f>
      </x:c>
      <x:c r="F92" s="36"/>
      <x:c r="G92" s="41" t="str">
        <x:f>IF(A92="","",SUMIFS($C$6:$C$155,$A$6:$A$155,A92,$F$6:$F$155,F92))</x:f>
      </x:c>
      <x:c r="H92" s="41" t="str">
        <x:f>IF(A92="","",SUMIFS($E$6:$E$155,$A$6:$A$155,A92,$F$6:$F$155,F92))</x:f>
      </x:c>
      <x:c r="I92" s="41" t="str">
        <x:f>IF(COUNT(D92,H92)=2,H92-D92,"")</x:f>
      </x:c>
      <x:c r="J92" s="41" t="str">
        <x:f>IF(A92="","","ALLOCATION - NOT OBSERVATION")</x:f>
      </x:c>
      <x:c r="K92" s="36"/>
      <x:c r="L92" s="41" t="str">
        <x:f>IF(A92="","",IF(AND(ISNUMBER(E92),K92&lt;&gt;"",ABS(G92-1)&lt;=Profile!$B$18,ABS(I92)&lt;=Profile!$B$18),"ARITHMETIC MATCH","HOLD: WEIGHTS / INPUT"))</x:f>
      </x:c>
    </x:row>
    <x:row r="93" ht="23" customHeight="1">
      <x:c r="A93" s="38"/>
      <x:c r="B93" s="36"/>
      <x:c r="C93" s="36"/>
      <x:c r="D93" s="41" t="str">
        <x:f>IF(A93="","",IF(F93="EA",IF(COUNTIF(ExAnte!$A$6:$A$55,A93)=1,IF(ISNUMBER(INDEX(ExAnte!$I$6:$I$55,MATCH(A93,ExAnte!$A$6:$A$55,0))),INDEX(ExAnte!$I$6:$I$55,MATCH(A93,ExAnte!$A$6:$A$55,0)),""),""),IF(F93="EP",IF(COUNTIF(ExPost!$A$6:$A$55,A93)=1,IF(ISNUMBER(INDEX(ExPost!$I$6:$I$55,MATCH(A93,ExPost!$A$6:$A$55,0))),INDEX(ExPost!$I$6:$I$55,MATCH(A93,ExPost!$A$6:$A$55,0)),""),""),"")))</x:f>
      </x:c>
      <x:c r="E93" s="41" t="str">
        <x:f>IF(COUNT(C93:D93)=2,IF(C93&gt;=0,C93*D93,""),"")</x:f>
      </x:c>
      <x:c r="F93" s="36"/>
      <x:c r="G93" s="41" t="str">
        <x:f>IF(A93="","",SUMIFS($C$6:$C$155,$A$6:$A$155,A93,$F$6:$F$155,F93))</x:f>
      </x:c>
      <x:c r="H93" s="41" t="str">
        <x:f>IF(A93="","",SUMIFS($E$6:$E$155,$A$6:$A$155,A93,$F$6:$F$155,F93))</x:f>
      </x:c>
      <x:c r="I93" s="41" t="str">
        <x:f>IF(COUNT(D93,H93)=2,H93-D93,"")</x:f>
      </x:c>
      <x:c r="J93" s="41" t="str">
        <x:f>IF(A93="","","ALLOCATION - NOT OBSERVATION")</x:f>
      </x:c>
      <x:c r="K93" s="36"/>
      <x:c r="L93" s="41" t="str">
        <x:f>IF(A93="","",IF(AND(ISNUMBER(E93),K93&lt;&gt;"",ABS(G93-1)&lt;=Profile!$B$18,ABS(I93)&lt;=Profile!$B$18),"ARITHMETIC MATCH","HOLD: WEIGHTS / INPUT"))</x:f>
      </x:c>
    </x:row>
    <x:row r="94" ht="23" customHeight="1">
      <x:c r="A94" s="38"/>
      <x:c r="B94" s="36"/>
      <x:c r="C94" s="36"/>
      <x:c r="D94" s="41" t="str">
        <x:f>IF(A94="","",IF(F94="EA",IF(COUNTIF(ExAnte!$A$6:$A$55,A94)=1,IF(ISNUMBER(INDEX(ExAnte!$I$6:$I$55,MATCH(A94,ExAnte!$A$6:$A$55,0))),INDEX(ExAnte!$I$6:$I$55,MATCH(A94,ExAnte!$A$6:$A$55,0)),""),""),IF(F94="EP",IF(COUNTIF(ExPost!$A$6:$A$55,A94)=1,IF(ISNUMBER(INDEX(ExPost!$I$6:$I$55,MATCH(A94,ExPost!$A$6:$A$55,0))),INDEX(ExPost!$I$6:$I$55,MATCH(A94,ExPost!$A$6:$A$55,0)),""),""),"")))</x:f>
      </x:c>
      <x:c r="E94" s="41" t="str">
        <x:f>IF(COUNT(C94:D94)=2,IF(C94&gt;=0,C94*D94,""),"")</x:f>
      </x:c>
      <x:c r="F94" s="36"/>
      <x:c r="G94" s="41" t="str">
        <x:f>IF(A94="","",SUMIFS($C$6:$C$155,$A$6:$A$155,A94,$F$6:$F$155,F94))</x:f>
      </x:c>
      <x:c r="H94" s="41" t="str">
        <x:f>IF(A94="","",SUMIFS($E$6:$E$155,$A$6:$A$155,A94,$F$6:$F$155,F94))</x:f>
      </x:c>
      <x:c r="I94" s="41" t="str">
        <x:f>IF(COUNT(D94,H94)=2,H94-D94,"")</x:f>
      </x:c>
      <x:c r="J94" s="41" t="str">
        <x:f>IF(A94="","","ALLOCATION - NOT OBSERVATION")</x:f>
      </x:c>
      <x:c r="K94" s="36"/>
      <x:c r="L94" s="41" t="str">
        <x:f>IF(A94="","",IF(AND(ISNUMBER(E94),K94&lt;&gt;"",ABS(G94-1)&lt;=Profile!$B$18,ABS(I94)&lt;=Profile!$B$18),"ARITHMETIC MATCH","HOLD: WEIGHTS / INPUT"))</x:f>
      </x:c>
    </x:row>
    <x:row r="95" ht="23" customHeight="1">
      <x:c r="A95" s="38"/>
      <x:c r="B95" s="36"/>
      <x:c r="C95" s="36"/>
      <x:c r="D95" s="41" t="str">
        <x:f>IF(A95="","",IF(F95="EA",IF(COUNTIF(ExAnte!$A$6:$A$55,A95)=1,IF(ISNUMBER(INDEX(ExAnte!$I$6:$I$55,MATCH(A95,ExAnte!$A$6:$A$55,0))),INDEX(ExAnte!$I$6:$I$55,MATCH(A95,ExAnte!$A$6:$A$55,0)),""),""),IF(F95="EP",IF(COUNTIF(ExPost!$A$6:$A$55,A95)=1,IF(ISNUMBER(INDEX(ExPost!$I$6:$I$55,MATCH(A95,ExPost!$A$6:$A$55,0))),INDEX(ExPost!$I$6:$I$55,MATCH(A95,ExPost!$A$6:$A$55,0)),""),""),"")))</x:f>
      </x:c>
      <x:c r="E95" s="41" t="str">
        <x:f>IF(COUNT(C95:D95)=2,IF(C95&gt;=0,C95*D95,""),"")</x:f>
      </x:c>
      <x:c r="F95" s="36"/>
      <x:c r="G95" s="41" t="str">
        <x:f>IF(A95="","",SUMIFS($C$6:$C$155,$A$6:$A$155,A95,$F$6:$F$155,F95))</x:f>
      </x:c>
      <x:c r="H95" s="41" t="str">
        <x:f>IF(A95="","",SUMIFS($E$6:$E$155,$A$6:$A$155,A95,$F$6:$F$155,F95))</x:f>
      </x:c>
      <x:c r="I95" s="41" t="str">
        <x:f>IF(COUNT(D95,H95)=2,H95-D95,"")</x:f>
      </x:c>
      <x:c r="J95" s="41" t="str">
        <x:f>IF(A95="","","ALLOCATION - NOT OBSERVATION")</x:f>
      </x:c>
      <x:c r="K95" s="36"/>
      <x:c r="L95" s="41" t="str">
        <x:f>IF(A95="","",IF(AND(ISNUMBER(E95),K95&lt;&gt;"",ABS(G95-1)&lt;=Profile!$B$18,ABS(I95)&lt;=Profile!$B$18),"ARITHMETIC MATCH","HOLD: WEIGHTS / INPUT"))</x:f>
      </x:c>
    </x:row>
    <x:row r="96" ht="23" customHeight="1">
      <x:c r="A96" s="38"/>
      <x:c r="B96" s="36"/>
      <x:c r="C96" s="36"/>
      <x:c r="D96" s="41" t="str">
        <x:f>IF(A96="","",IF(F96="EA",IF(COUNTIF(ExAnte!$A$6:$A$55,A96)=1,IF(ISNUMBER(INDEX(ExAnte!$I$6:$I$55,MATCH(A96,ExAnte!$A$6:$A$55,0))),INDEX(ExAnte!$I$6:$I$55,MATCH(A96,ExAnte!$A$6:$A$55,0)),""),""),IF(F96="EP",IF(COUNTIF(ExPost!$A$6:$A$55,A96)=1,IF(ISNUMBER(INDEX(ExPost!$I$6:$I$55,MATCH(A96,ExPost!$A$6:$A$55,0))),INDEX(ExPost!$I$6:$I$55,MATCH(A96,ExPost!$A$6:$A$55,0)),""),""),"")))</x:f>
      </x:c>
      <x:c r="E96" s="41" t="str">
        <x:f>IF(COUNT(C96:D96)=2,IF(C96&gt;=0,C96*D96,""),"")</x:f>
      </x:c>
      <x:c r="F96" s="36"/>
      <x:c r="G96" s="41" t="str">
        <x:f>IF(A96="","",SUMIFS($C$6:$C$155,$A$6:$A$155,A96,$F$6:$F$155,F96))</x:f>
      </x:c>
      <x:c r="H96" s="41" t="str">
        <x:f>IF(A96="","",SUMIFS($E$6:$E$155,$A$6:$A$155,A96,$F$6:$F$155,F96))</x:f>
      </x:c>
      <x:c r="I96" s="41" t="str">
        <x:f>IF(COUNT(D96,H96)=2,H96-D96,"")</x:f>
      </x:c>
      <x:c r="J96" s="41" t="str">
        <x:f>IF(A96="","","ALLOCATION - NOT OBSERVATION")</x:f>
      </x:c>
      <x:c r="K96" s="36"/>
      <x:c r="L96" s="41" t="str">
        <x:f>IF(A96="","",IF(AND(ISNUMBER(E96),K96&lt;&gt;"",ABS(G96-1)&lt;=Profile!$B$18,ABS(I96)&lt;=Profile!$B$18),"ARITHMETIC MATCH","HOLD: WEIGHTS / INPUT"))</x:f>
      </x:c>
    </x:row>
    <x:row r="97" ht="23" customHeight="1">
      <x:c r="A97" s="38"/>
      <x:c r="B97" s="36"/>
      <x:c r="C97" s="36"/>
      <x:c r="D97" s="41" t="str">
        <x:f>IF(A97="","",IF(F97="EA",IF(COUNTIF(ExAnte!$A$6:$A$55,A97)=1,IF(ISNUMBER(INDEX(ExAnte!$I$6:$I$55,MATCH(A97,ExAnte!$A$6:$A$55,0))),INDEX(ExAnte!$I$6:$I$55,MATCH(A97,ExAnte!$A$6:$A$55,0)),""),""),IF(F97="EP",IF(COUNTIF(ExPost!$A$6:$A$55,A97)=1,IF(ISNUMBER(INDEX(ExPost!$I$6:$I$55,MATCH(A97,ExPost!$A$6:$A$55,0))),INDEX(ExPost!$I$6:$I$55,MATCH(A97,ExPost!$A$6:$A$55,0)),""),""),"")))</x:f>
      </x:c>
      <x:c r="E97" s="41" t="str">
        <x:f>IF(COUNT(C97:D97)=2,IF(C97&gt;=0,C97*D97,""),"")</x:f>
      </x:c>
      <x:c r="F97" s="36"/>
      <x:c r="G97" s="41" t="str">
        <x:f>IF(A97="","",SUMIFS($C$6:$C$155,$A$6:$A$155,A97,$F$6:$F$155,F97))</x:f>
      </x:c>
      <x:c r="H97" s="41" t="str">
        <x:f>IF(A97="","",SUMIFS($E$6:$E$155,$A$6:$A$155,A97,$F$6:$F$155,F97))</x:f>
      </x:c>
      <x:c r="I97" s="41" t="str">
        <x:f>IF(COUNT(D97,H97)=2,H97-D97,"")</x:f>
      </x:c>
      <x:c r="J97" s="41" t="str">
        <x:f>IF(A97="","","ALLOCATION - NOT OBSERVATION")</x:f>
      </x:c>
      <x:c r="K97" s="36"/>
      <x:c r="L97" s="41" t="str">
        <x:f>IF(A97="","",IF(AND(ISNUMBER(E97),K97&lt;&gt;"",ABS(G97-1)&lt;=Profile!$B$18,ABS(I97)&lt;=Profile!$B$18),"ARITHMETIC MATCH","HOLD: WEIGHTS / INPUT"))</x:f>
      </x:c>
    </x:row>
    <x:row r="98" ht="23" customHeight="1">
      <x:c r="A98" s="38"/>
      <x:c r="B98" s="36"/>
      <x:c r="C98" s="36"/>
      <x:c r="D98" s="41" t="str">
        <x:f>IF(A98="","",IF(F98="EA",IF(COUNTIF(ExAnte!$A$6:$A$55,A98)=1,IF(ISNUMBER(INDEX(ExAnte!$I$6:$I$55,MATCH(A98,ExAnte!$A$6:$A$55,0))),INDEX(ExAnte!$I$6:$I$55,MATCH(A98,ExAnte!$A$6:$A$55,0)),""),""),IF(F98="EP",IF(COUNTIF(ExPost!$A$6:$A$55,A98)=1,IF(ISNUMBER(INDEX(ExPost!$I$6:$I$55,MATCH(A98,ExPost!$A$6:$A$55,0))),INDEX(ExPost!$I$6:$I$55,MATCH(A98,ExPost!$A$6:$A$55,0)),""),""),"")))</x:f>
      </x:c>
      <x:c r="E98" s="41" t="str">
        <x:f>IF(COUNT(C98:D98)=2,IF(C98&gt;=0,C98*D98,""),"")</x:f>
      </x:c>
      <x:c r="F98" s="36"/>
      <x:c r="G98" s="41" t="str">
        <x:f>IF(A98="","",SUMIFS($C$6:$C$155,$A$6:$A$155,A98,$F$6:$F$155,F98))</x:f>
      </x:c>
      <x:c r="H98" s="41" t="str">
        <x:f>IF(A98="","",SUMIFS($E$6:$E$155,$A$6:$A$155,A98,$F$6:$F$155,F98))</x:f>
      </x:c>
      <x:c r="I98" s="41" t="str">
        <x:f>IF(COUNT(D98,H98)=2,H98-D98,"")</x:f>
      </x:c>
      <x:c r="J98" s="41" t="str">
        <x:f>IF(A98="","","ALLOCATION - NOT OBSERVATION")</x:f>
      </x:c>
      <x:c r="K98" s="36"/>
      <x:c r="L98" s="41" t="str">
        <x:f>IF(A98="","",IF(AND(ISNUMBER(E98),K98&lt;&gt;"",ABS(G98-1)&lt;=Profile!$B$18,ABS(I98)&lt;=Profile!$B$18),"ARITHMETIC MATCH","HOLD: WEIGHTS / INPUT"))</x:f>
      </x:c>
    </x:row>
    <x:row r="99" ht="23" customHeight="1">
      <x:c r="A99" s="38"/>
      <x:c r="B99" s="36"/>
      <x:c r="C99" s="36"/>
      <x:c r="D99" s="41" t="str">
        <x:f>IF(A99="","",IF(F99="EA",IF(COUNTIF(ExAnte!$A$6:$A$55,A99)=1,IF(ISNUMBER(INDEX(ExAnte!$I$6:$I$55,MATCH(A99,ExAnte!$A$6:$A$55,0))),INDEX(ExAnte!$I$6:$I$55,MATCH(A99,ExAnte!$A$6:$A$55,0)),""),""),IF(F99="EP",IF(COUNTIF(ExPost!$A$6:$A$55,A99)=1,IF(ISNUMBER(INDEX(ExPost!$I$6:$I$55,MATCH(A99,ExPost!$A$6:$A$55,0))),INDEX(ExPost!$I$6:$I$55,MATCH(A99,ExPost!$A$6:$A$55,0)),""),""),"")))</x:f>
      </x:c>
      <x:c r="E99" s="41" t="str">
        <x:f>IF(COUNT(C99:D99)=2,IF(C99&gt;=0,C99*D99,""),"")</x:f>
      </x:c>
      <x:c r="F99" s="36"/>
      <x:c r="G99" s="41" t="str">
        <x:f>IF(A99="","",SUMIFS($C$6:$C$155,$A$6:$A$155,A99,$F$6:$F$155,F99))</x:f>
      </x:c>
      <x:c r="H99" s="41" t="str">
        <x:f>IF(A99="","",SUMIFS($E$6:$E$155,$A$6:$A$155,A99,$F$6:$F$155,F99))</x:f>
      </x:c>
      <x:c r="I99" s="41" t="str">
        <x:f>IF(COUNT(D99,H99)=2,H99-D99,"")</x:f>
      </x:c>
      <x:c r="J99" s="41" t="str">
        <x:f>IF(A99="","","ALLOCATION - NOT OBSERVATION")</x:f>
      </x:c>
      <x:c r="K99" s="36"/>
      <x:c r="L99" s="41" t="str">
        <x:f>IF(A99="","",IF(AND(ISNUMBER(E99),K99&lt;&gt;"",ABS(G99-1)&lt;=Profile!$B$18,ABS(I99)&lt;=Profile!$B$18),"ARITHMETIC MATCH","HOLD: WEIGHTS / INPUT"))</x:f>
      </x:c>
    </x:row>
    <x:row r="100" ht="23" customHeight="1">
      <x:c r="A100" s="38"/>
      <x:c r="B100" s="36"/>
      <x:c r="C100" s="36"/>
      <x:c r="D100" s="41" t="str">
        <x:f>IF(A100="","",IF(F100="EA",IF(COUNTIF(ExAnte!$A$6:$A$55,A100)=1,IF(ISNUMBER(INDEX(ExAnte!$I$6:$I$55,MATCH(A100,ExAnte!$A$6:$A$55,0))),INDEX(ExAnte!$I$6:$I$55,MATCH(A100,ExAnte!$A$6:$A$55,0)),""),""),IF(F100="EP",IF(COUNTIF(ExPost!$A$6:$A$55,A100)=1,IF(ISNUMBER(INDEX(ExPost!$I$6:$I$55,MATCH(A100,ExPost!$A$6:$A$55,0))),INDEX(ExPost!$I$6:$I$55,MATCH(A100,ExPost!$A$6:$A$55,0)),""),""),"")))</x:f>
      </x:c>
      <x:c r="E100" s="41" t="str">
        <x:f>IF(COUNT(C100:D100)=2,IF(C100&gt;=0,C100*D100,""),"")</x:f>
      </x:c>
      <x:c r="F100" s="36"/>
      <x:c r="G100" s="41" t="str">
        <x:f>IF(A100="","",SUMIFS($C$6:$C$155,$A$6:$A$155,A100,$F$6:$F$155,F100))</x:f>
      </x:c>
      <x:c r="H100" s="41" t="str">
        <x:f>IF(A100="","",SUMIFS($E$6:$E$155,$A$6:$A$155,A100,$F$6:$F$155,F100))</x:f>
      </x:c>
      <x:c r="I100" s="41" t="str">
        <x:f>IF(COUNT(D100,H100)=2,H100-D100,"")</x:f>
      </x:c>
      <x:c r="J100" s="41" t="str">
        <x:f>IF(A100="","","ALLOCATION - NOT OBSERVATION")</x:f>
      </x:c>
      <x:c r="K100" s="36"/>
      <x:c r="L100" s="41" t="str">
        <x:f>IF(A100="","",IF(AND(ISNUMBER(E100),K100&lt;&gt;"",ABS(G100-1)&lt;=Profile!$B$18,ABS(I100)&lt;=Profile!$B$18),"ARITHMETIC MATCH","HOLD: WEIGHTS / INPUT"))</x:f>
      </x:c>
    </x:row>
    <x:row r="101" ht="23" customHeight="1">
      <x:c r="A101" s="38"/>
      <x:c r="B101" s="36"/>
      <x:c r="C101" s="36"/>
      <x:c r="D101" s="41" t="str">
        <x:f>IF(A101="","",IF(F101="EA",IF(COUNTIF(ExAnte!$A$6:$A$55,A101)=1,IF(ISNUMBER(INDEX(ExAnte!$I$6:$I$55,MATCH(A101,ExAnte!$A$6:$A$55,0))),INDEX(ExAnte!$I$6:$I$55,MATCH(A101,ExAnte!$A$6:$A$55,0)),""),""),IF(F101="EP",IF(COUNTIF(ExPost!$A$6:$A$55,A101)=1,IF(ISNUMBER(INDEX(ExPost!$I$6:$I$55,MATCH(A101,ExPost!$A$6:$A$55,0))),INDEX(ExPost!$I$6:$I$55,MATCH(A101,ExPost!$A$6:$A$55,0)),""),""),"")))</x:f>
      </x:c>
      <x:c r="E101" s="41" t="str">
        <x:f>IF(COUNT(C101:D101)=2,IF(C101&gt;=0,C101*D101,""),"")</x:f>
      </x:c>
      <x:c r="F101" s="36"/>
      <x:c r="G101" s="41" t="str">
        <x:f>IF(A101="","",SUMIFS($C$6:$C$155,$A$6:$A$155,A101,$F$6:$F$155,F101))</x:f>
      </x:c>
      <x:c r="H101" s="41" t="str">
        <x:f>IF(A101="","",SUMIFS($E$6:$E$155,$A$6:$A$155,A101,$F$6:$F$155,F101))</x:f>
      </x:c>
      <x:c r="I101" s="41" t="str">
        <x:f>IF(COUNT(D101,H101)=2,H101-D101,"")</x:f>
      </x:c>
      <x:c r="J101" s="41" t="str">
        <x:f>IF(A101="","","ALLOCATION - NOT OBSERVATION")</x:f>
      </x:c>
      <x:c r="K101" s="36"/>
      <x:c r="L101" s="41" t="str">
        <x:f>IF(A101="","",IF(AND(ISNUMBER(E101),K101&lt;&gt;"",ABS(G101-1)&lt;=Profile!$B$18,ABS(I101)&lt;=Profile!$B$18),"ARITHMETIC MATCH","HOLD: WEIGHTS / INPUT"))</x:f>
      </x:c>
    </x:row>
    <x:row r="102" ht="23" customHeight="1">
      <x:c r="A102" s="38"/>
      <x:c r="B102" s="36"/>
      <x:c r="C102" s="36"/>
      <x:c r="D102" s="41" t="str">
        <x:f>IF(A102="","",IF(F102="EA",IF(COUNTIF(ExAnte!$A$6:$A$55,A102)=1,IF(ISNUMBER(INDEX(ExAnte!$I$6:$I$55,MATCH(A102,ExAnte!$A$6:$A$55,0))),INDEX(ExAnte!$I$6:$I$55,MATCH(A102,ExAnte!$A$6:$A$55,0)),""),""),IF(F102="EP",IF(COUNTIF(ExPost!$A$6:$A$55,A102)=1,IF(ISNUMBER(INDEX(ExPost!$I$6:$I$55,MATCH(A102,ExPost!$A$6:$A$55,0))),INDEX(ExPost!$I$6:$I$55,MATCH(A102,ExPost!$A$6:$A$55,0)),""),""),"")))</x:f>
      </x:c>
      <x:c r="E102" s="41" t="str">
        <x:f>IF(COUNT(C102:D102)=2,IF(C102&gt;=0,C102*D102,""),"")</x:f>
      </x:c>
      <x:c r="F102" s="36"/>
      <x:c r="G102" s="41" t="str">
        <x:f>IF(A102="","",SUMIFS($C$6:$C$155,$A$6:$A$155,A102,$F$6:$F$155,F102))</x:f>
      </x:c>
      <x:c r="H102" s="41" t="str">
        <x:f>IF(A102="","",SUMIFS($E$6:$E$155,$A$6:$A$155,A102,$F$6:$F$155,F102))</x:f>
      </x:c>
      <x:c r="I102" s="41" t="str">
        <x:f>IF(COUNT(D102,H102)=2,H102-D102,"")</x:f>
      </x:c>
      <x:c r="J102" s="41" t="str">
        <x:f>IF(A102="","","ALLOCATION - NOT OBSERVATION")</x:f>
      </x:c>
      <x:c r="K102" s="36"/>
      <x:c r="L102" s="41" t="str">
        <x:f>IF(A102="","",IF(AND(ISNUMBER(E102),K102&lt;&gt;"",ABS(G102-1)&lt;=Profile!$B$18,ABS(I102)&lt;=Profile!$B$18),"ARITHMETIC MATCH","HOLD: WEIGHTS / INPUT"))</x:f>
      </x:c>
    </x:row>
    <x:row r="103" ht="23" customHeight="1">
      <x:c r="A103" s="38"/>
      <x:c r="B103" s="36"/>
      <x:c r="C103" s="36"/>
      <x:c r="D103" s="41" t="str">
        <x:f>IF(A103="","",IF(F103="EA",IF(COUNTIF(ExAnte!$A$6:$A$55,A103)=1,IF(ISNUMBER(INDEX(ExAnte!$I$6:$I$55,MATCH(A103,ExAnte!$A$6:$A$55,0))),INDEX(ExAnte!$I$6:$I$55,MATCH(A103,ExAnte!$A$6:$A$55,0)),""),""),IF(F103="EP",IF(COUNTIF(ExPost!$A$6:$A$55,A103)=1,IF(ISNUMBER(INDEX(ExPost!$I$6:$I$55,MATCH(A103,ExPost!$A$6:$A$55,0))),INDEX(ExPost!$I$6:$I$55,MATCH(A103,ExPost!$A$6:$A$55,0)),""),""),"")))</x:f>
      </x:c>
      <x:c r="E103" s="41" t="str">
        <x:f>IF(COUNT(C103:D103)=2,IF(C103&gt;=0,C103*D103,""),"")</x:f>
      </x:c>
      <x:c r="F103" s="36"/>
      <x:c r="G103" s="41" t="str">
        <x:f>IF(A103="","",SUMIFS($C$6:$C$155,$A$6:$A$155,A103,$F$6:$F$155,F103))</x:f>
      </x:c>
      <x:c r="H103" s="41" t="str">
        <x:f>IF(A103="","",SUMIFS($E$6:$E$155,$A$6:$A$155,A103,$F$6:$F$155,F103))</x:f>
      </x:c>
      <x:c r="I103" s="41" t="str">
        <x:f>IF(COUNT(D103,H103)=2,H103-D103,"")</x:f>
      </x:c>
      <x:c r="J103" s="41" t="str">
        <x:f>IF(A103="","","ALLOCATION - NOT OBSERVATION")</x:f>
      </x:c>
      <x:c r="K103" s="36"/>
      <x:c r="L103" s="41" t="str">
        <x:f>IF(A103="","",IF(AND(ISNUMBER(E103),K103&lt;&gt;"",ABS(G103-1)&lt;=Profile!$B$18,ABS(I103)&lt;=Profile!$B$18),"ARITHMETIC MATCH","HOLD: WEIGHTS / INPUT"))</x:f>
      </x:c>
    </x:row>
    <x:row r="104" ht="23" customHeight="1">
      <x:c r="A104" s="38"/>
      <x:c r="B104" s="36"/>
      <x:c r="C104" s="36"/>
      <x:c r="D104" s="41" t="str">
        <x:f>IF(A104="","",IF(F104="EA",IF(COUNTIF(ExAnte!$A$6:$A$55,A104)=1,IF(ISNUMBER(INDEX(ExAnte!$I$6:$I$55,MATCH(A104,ExAnte!$A$6:$A$55,0))),INDEX(ExAnte!$I$6:$I$55,MATCH(A104,ExAnte!$A$6:$A$55,0)),""),""),IF(F104="EP",IF(COUNTIF(ExPost!$A$6:$A$55,A104)=1,IF(ISNUMBER(INDEX(ExPost!$I$6:$I$55,MATCH(A104,ExPost!$A$6:$A$55,0))),INDEX(ExPost!$I$6:$I$55,MATCH(A104,ExPost!$A$6:$A$55,0)),""),""),"")))</x:f>
      </x:c>
      <x:c r="E104" s="41" t="str">
        <x:f>IF(COUNT(C104:D104)=2,IF(C104&gt;=0,C104*D104,""),"")</x:f>
      </x:c>
      <x:c r="F104" s="36"/>
      <x:c r="G104" s="41" t="str">
        <x:f>IF(A104="","",SUMIFS($C$6:$C$155,$A$6:$A$155,A104,$F$6:$F$155,F104))</x:f>
      </x:c>
      <x:c r="H104" s="41" t="str">
        <x:f>IF(A104="","",SUMIFS($E$6:$E$155,$A$6:$A$155,A104,$F$6:$F$155,F104))</x:f>
      </x:c>
      <x:c r="I104" s="41" t="str">
        <x:f>IF(COUNT(D104,H104)=2,H104-D104,"")</x:f>
      </x:c>
      <x:c r="J104" s="41" t="str">
        <x:f>IF(A104="","","ALLOCATION - NOT OBSERVATION")</x:f>
      </x:c>
      <x:c r="K104" s="36"/>
      <x:c r="L104" s="41" t="str">
        <x:f>IF(A104="","",IF(AND(ISNUMBER(E104),K104&lt;&gt;"",ABS(G104-1)&lt;=Profile!$B$18,ABS(I104)&lt;=Profile!$B$18),"ARITHMETIC MATCH","HOLD: WEIGHTS / INPUT"))</x:f>
      </x:c>
    </x:row>
    <x:row r="105" ht="23" customHeight="1">
      <x:c r="A105" s="38"/>
      <x:c r="B105" s="36"/>
      <x:c r="C105" s="36"/>
      <x:c r="D105" s="41" t="str">
        <x:f>IF(A105="","",IF(F105="EA",IF(COUNTIF(ExAnte!$A$6:$A$55,A105)=1,IF(ISNUMBER(INDEX(ExAnte!$I$6:$I$55,MATCH(A105,ExAnte!$A$6:$A$55,0))),INDEX(ExAnte!$I$6:$I$55,MATCH(A105,ExAnte!$A$6:$A$55,0)),""),""),IF(F105="EP",IF(COUNTIF(ExPost!$A$6:$A$55,A105)=1,IF(ISNUMBER(INDEX(ExPost!$I$6:$I$55,MATCH(A105,ExPost!$A$6:$A$55,0))),INDEX(ExPost!$I$6:$I$55,MATCH(A105,ExPost!$A$6:$A$55,0)),""),""),"")))</x:f>
      </x:c>
      <x:c r="E105" s="41" t="str">
        <x:f>IF(COUNT(C105:D105)=2,IF(C105&gt;=0,C105*D105,""),"")</x:f>
      </x:c>
      <x:c r="F105" s="36"/>
      <x:c r="G105" s="41" t="str">
        <x:f>IF(A105="","",SUMIFS($C$6:$C$155,$A$6:$A$155,A105,$F$6:$F$155,F105))</x:f>
      </x:c>
      <x:c r="H105" s="41" t="str">
        <x:f>IF(A105="","",SUMIFS($E$6:$E$155,$A$6:$A$155,A105,$F$6:$F$155,F105))</x:f>
      </x:c>
      <x:c r="I105" s="41" t="str">
        <x:f>IF(COUNT(D105,H105)=2,H105-D105,"")</x:f>
      </x:c>
      <x:c r="J105" s="41" t="str">
        <x:f>IF(A105="","","ALLOCATION - NOT OBSERVATION")</x:f>
      </x:c>
      <x:c r="K105" s="36"/>
      <x:c r="L105" s="41" t="str">
        <x:f>IF(A105="","",IF(AND(ISNUMBER(E105),K105&lt;&gt;"",ABS(G105-1)&lt;=Profile!$B$18,ABS(I105)&lt;=Profile!$B$18),"ARITHMETIC MATCH","HOLD: WEIGHTS / INPUT"))</x:f>
      </x:c>
    </x:row>
    <x:row r="106" ht="23" customHeight="1">
      <x:c r="A106" s="38"/>
      <x:c r="B106" s="36"/>
      <x:c r="C106" s="36"/>
      <x:c r="D106" s="41" t="str">
        <x:f>IF(A106="","",IF(F106="EA",IF(COUNTIF(ExAnte!$A$6:$A$55,A106)=1,IF(ISNUMBER(INDEX(ExAnte!$I$6:$I$55,MATCH(A106,ExAnte!$A$6:$A$55,0))),INDEX(ExAnte!$I$6:$I$55,MATCH(A106,ExAnte!$A$6:$A$55,0)),""),""),IF(F106="EP",IF(COUNTIF(ExPost!$A$6:$A$55,A106)=1,IF(ISNUMBER(INDEX(ExPost!$I$6:$I$55,MATCH(A106,ExPost!$A$6:$A$55,0))),INDEX(ExPost!$I$6:$I$55,MATCH(A106,ExPost!$A$6:$A$55,0)),""),""),"")))</x:f>
      </x:c>
      <x:c r="E106" s="41" t="str">
        <x:f>IF(COUNT(C106:D106)=2,IF(C106&gt;=0,C106*D106,""),"")</x:f>
      </x:c>
      <x:c r="F106" s="36"/>
      <x:c r="G106" s="41" t="str">
        <x:f>IF(A106="","",SUMIFS($C$6:$C$155,$A$6:$A$155,A106,$F$6:$F$155,F106))</x:f>
      </x:c>
      <x:c r="H106" s="41" t="str">
        <x:f>IF(A106="","",SUMIFS($E$6:$E$155,$A$6:$A$155,A106,$F$6:$F$155,F106))</x:f>
      </x:c>
      <x:c r="I106" s="41" t="str">
        <x:f>IF(COUNT(D106,H106)=2,H106-D106,"")</x:f>
      </x:c>
      <x:c r="J106" s="41" t="str">
        <x:f>IF(A106="","","ALLOCATION - NOT OBSERVATION")</x:f>
      </x:c>
      <x:c r="K106" s="36"/>
      <x:c r="L106" s="41" t="str">
        <x:f>IF(A106="","",IF(AND(ISNUMBER(E106),K106&lt;&gt;"",ABS(G106-1)&lt;=Profile!$B$18,ABS(I106)&lt;=Profile!$B$18),"ARITHMETIC MATCH","HOLD: WEIGHTS / INPUT"))</x:f>
      </x:c>
    </x:row>
    <x:row r="107" ht="23" customHeight="1">
      <x:c r="A107" s="38"/>
      <x:c r="B107" s="36"/>
      <x:c r="C107" s="36"/>
      <x:c r="D107" s="41" t="str">
        <x:f>IF(A107="","",IF(F107="EA",IF(COUNTIF(ExAnte!$A$6:$A$55,A107)=1,IF(ISNUMBER(INDEX(ExAnte!$I$6:$I$55,MATCH(A107,ExAnte!$A$6:$A$55,0))),INDEX(ExAnte!$I$6:$I$55,MATCH(A107,ExAnte!$A$6:$A$55,0)),""),""),IF(F107="EP",IF(COUNTIF(ExPost!$A$6:$A$55,A107)=1,IF(ISNUMBER(INDEX(ExPost!$I$6:$I$55,MATCH(A107,ExPost!$A$6:$A$55,0))),INDEX(ExPost!$I$6:$I$55,MATCH(A107,ExPost!$A$6:$A$55,0)),""),""),"")))</x:f>
      </x:c>
      <x:c r="E107" s="41" t="str">
        <x:f>IF(COUNT(C107:D107)=2,IF(C107&gt;=0,C107*D107,""),"")</x:f>
      </x:c>
      <x:c r="F107" s="36"/>
      <x:c r="G107" s="41" t="str">
        <x:f>IF(A107="","",SUMIFS($C$6:$C$155,$A$6:$A$155,A107,$F$6:$F$155,F107))</x:f>
      </x:c>
      <x:c r="H107" s="41" t="str">
        <x:f>IF(A107="","",SUMIFS($E$6:$E$155,$A$6:$A$155,A107,$F$6:$F$155,F107))</x:f>
      </x:c>
      <x:c r="I107" s="41" t="str">
        <x:f>IF(COUNT(D107,H107)=2,H107-D107,"")</x:f>
      </x:c>
      <x:c r="J107" s="41" t="str">
        <x:f>IF(A107="","","ALLOCATION - NOT OBSERVATION")</x:f>
      </x:c>
      <x:c r="K107" s="36"/>
      <x:c r="L107" s="41" t="str">
        <x:f>IF(A107="","",IF(AND(ISNUMBER(E107),K107&lt;&gt;"",ABS(G107-1)&lt;=Profile!$B$18,ABS(I107)&lt;=Profile!$B$18),"ARITHMETIC MATCH","HOLD: WEIGHTS / INPUT"))</x:f>
      </x:c>
    </x:row>
    <x:row r="108" ht="23" customHeight="1">
      <x:c r="A108" s="38"/>
      <x:c r="B108" s="36"/>
      <x:c r="C108" s="36"/>
      <x:c r="D108" s="41" t="str">
        <x:f>IF(A108="","",IF(F108="EA",IF(COUNTIF(ExAnte!$A$6:$A$55,A108)=1,IF(ISNUMBER(INDEX(ExAnte!$I$6:$I$55,MATCH(A108,ExAnte!$A$6:$A$55,0))),INDEX(ExAnte!$I$6:$I$55,MATCH(A108,ExAnte!$A$6:$A$55,0)),""),""),IF(F108="EP",IF(COUNTIF(ExPost!$A$6:$A$55,A108)=1,IF(ISNUMBER(INDEX(ExPost!$I$6:$I$55,MATCH(A108,ExPost!$A$6:$A$55,0))),INDEX(ExPost!$I$6:$I$55,MATCH(A108,ExPost!$A$6:$A$55,0)),""),""),"")))</x:f>
      </x:c>
      <x:c r="E108" s="41" t="str">
        <x:f>IF(COUNT(C108:D108)=2,IF(C108&gt;=0,C108*D108,""),"")</x:f>
      </x:c>
      <x:c r="F108" s="36"/>
      <x:c r="G108" s="41" t="str">
        <x:f>IF(A108="","",SUMIFS($C$6:$C$155,$A$6:$A$155,A108,$F$6:$F$155,F108))</x:f>
      </x:c>
      <x:c r="H108" s="41" t="str">
        <x:f>IF(A108="","",SUMIFS($E$6:$E$155,$A$6:$A$155,A108,$F$6:$F$155,F108))</x:f>
      </x:c>
      <x:c r="I108" s="41" t="str">
        <x:f>IF(COUNT(D108,H108)=2,H108-D108,"")</x:f>
      </x:c>
      <x:c r="J108" s="41" t="str">
        <x:f>IF(A108="","","ALLOCATION - NOT OBSERVATION")</x:f>
      </x:c>
      <x:c r="K108" s="36"/>
      <x:c r="L108" s="41" t="str">
        <x:f>IF(A108="","",IF(AND(ISNUMBER(E108),K108&lt;&gt;"",ABS(G108-1)&lt;=Profile!$B$18,ABS(I108)&lt;=Profile!$B$18),"ARITHMETIC MATCH","HOLD: WEIGHTS / INPUT"))</x:f>
      </x:c>
    </x:row>
    <x:row r="109" ht="23" customHeight="1">
      <x:c r="A109" s="38"/>
      <x:c r="B109" s="36"/>
      <x:c r="C109" s="36"/>
      <x:c r="D109" s="41" t="str">
        <x:f>IF(A109="","",IF(F109="EA",IF(COUNTIF(ExAnte!$A$6:$A$55,A109)=1,IF(ISNUMBER(INDEX(ExAnte!$I$6:$I$55,MATCH(A109,ExAnte!$A$6:$A$55,0))),INDEX(ExAnte!$I$6:$I$55,MATCH(A109,ExAnte!$A$6:$A$55,0)),""),""),IF(F109="EP",IF(COUNTIF(ExPost!$A$6:$A$55,A109)=1,IF(ISNUMBER(INDEX(ExPost!$I$6:$I$55,MATCH(A109,ExPost!$A$6:$A$55,0))),INDEX(ExPost!$I$6:$I$55,MATCH(A109,ExPost!$A$6:$A$55,0)),""),""),"")))</x:f>
      </x:c>
      <x:c r="E109" s="41" t="str">
        <x:f>IF(COUNT(C109:D109)=2,IF(C109&gt;=0,C109*D109,""),"")</x:f>
      </x:c>
      <x:c r="F109" s="36"/>
      <x:c r="G109" s="41" t="str">
        <x:f>IF(A109="","",SUMIFS($C$6:$C$155,$A$6:$A$155,A109,$F$6:$F$155,F109))</x:f>
      </x:c>
      <x:c r="H109" s="41" t="str">
        <x:f>IF(A109="","",SUMIFS($E$6:$E$155,$A$6:$A$155,A109,$F$6:$F$155,F109))</x:f>
      </x:c>
      <x:c r="I109" s="41" t="str">
        <x:f>IF(COUNT(D109,H109)=2,H109-D109,"")</x:f>
      </x:c>
      <x:c r="J109" s="41" t="str">
        <x:f>IF(A109="","","ALLOCATION - NOT OBSERVATION")</x:f>
      </x:c>
      <x:c r="K109" s="36"/>
      <x:c r="L109" s="41" t="str">
        <x:f>IF(A109="","",IF(AND(ISNUMBER(E109),K109&lt;&gt;"",ABS(G109-1)&lt;=Profile!$B$18,ABS(I109)&lt;=Profile!$B$18),"ARITHMETIC MATCH","HOLD: WEIGHTS / INPUT"))</x:f>
      </x:c>
    </x:row>
    <x:row r="110" ht="23" customHeight="1">
      <x:c r="A110" s="38"/>
      <x:c r="B110" s="36"/>
      <x:c r="C110" s="36"/>
      <x:c r="D110" s="41" t="str">
        <x:f>IF(A110="","",IF(F110="EA",IF(COUNTIF(ExAnte!$A$6:$A$55,A110)=1,IF(ISNUMBER(INDEX(ExAnte!$I$6:$I$55,MATCH(A110,ExAnte!$A$6:$A$55,0))),INDEX(ExAnte!$I$6:$I$55,MATCH(A110,ExAnte!$A$6:$A$55,0)),""),""),IF(F110="EP",IF(COUNTIF(ExPost!$A$6:$A$55,A110)=1,IF(ISNUMBER(INDEX(ExPost!$I$6:$I$55,MATCH(A110,ExPost!$A$6:$A$55,0))),INDEX(ExPost!$I$6:$I$55,MATCH(A110,ExPost!$A$6:$A$55,0)),""),""),"")))</x:f>
      </x:c>
      <x:c r="E110" s="41" t="str">
        <x:f>IF(COUNT(C110:D110)=2,IF(C110&gt;=0,C110*D110,""),"")</x:f>
      </x:c>
      <x:c r="F110" s="36"/>
      <x:c r="G110" s="41" t="str">
        <x:f>IF(A110="","",SUMIFS($C$6:$C$155,$A$6:$A$155,A110,$F$6:$F$155,F110))</x:f>
      </x:c>
      <x:c r="H110" s="41" t="str">
        <x:f>IF(A110="","",SUMIFS($E$6:$E$155,$A$6:$A$155,A110,$F$6:$F$155,F110))</x:f>
      </x:c>
      <x:c r="I110" s="41" t="str">
        <x:f>IF(COUNT(D110,H110)=2,H110-D110,"")</x:f>
      </x:c>
      <x:c r="J110" s="41" t="str">
        <x:f>IF(A110="","","ALLOCATION - NOT OBSERVATION")</x:f>
      </x:c>
      <x:c r="K110" s="36"/>
      <x:c r="L110" s="41" t="str">
        <x:f>IF(A110="","",IF(AND(ISNUMBER(E110),K110&lt;&gt;"",ABS(G110-1)&lt;=Profile!$B$18,ABS(I110)&lt;=Profile!$B$18),"ARITHMETIC MATCH","HOLD: WEIGHTS / INPUT"))</x:f>
      </x:c>
    </x:row>
    <x:row r="111" ht="23" customHeight="1">
      <x:c r="A111" s="38"/>
      <x:c r="B111" s="36"/>
      <x:c r="C111" s="36"/>
      <x:c r="D111" s="41" t="str">
        <x:f>IF(A111="","",IF(F111="EA",IF(COUNTIF(ExAnte!$A$6:$A$55,A111)=1,IF(ISNUMBER(INDEX(ExAnte!$I$6:$I$55,MATCH(A111,ExAnte!$A$6:$A$55,0))),INDEX(ExAnte!$I$6:$I$55,MATCH(A111,ExAnte!$A$6:$A$55,0)),""),""),IF(F111="EP",IF(COUNTIF(ExPost!$A$6:$A$55,A111)=1,IF(ISNUMBER(INDEX(ExPost!$I$6:$I$55,MATCH(A111,ExPost!$A$6:$A$55,0))),INDEX(ExPost!$I$6:$I$55,MATCH(A111,ExPost!$A$6:$A$55,0)),""),""),"")))</x:f>
      </x:c>
      <x:c r="E111" s="41" t="str">
        <x:f>IF(COUNT(C111:D111)=2,IF(C111&gt;=0,C111*D111,""),"")</x:f>
      </x:c>
      <x:c r="F111" s="36"/>
      <x:c r="G111" s="41" t="str">
        <x:f>IF(A111="","",SUMIFS($C$6:$C$155,$A$6:$A$155,A111,$F$6:$F$155,F111))</x:f>
      </x:c>
      <x:c r="H111" s="41" t="str">
        <x:f>IF(A111="","",SUMIFS($E$6:$E$155,$A$6:$A$155,A111,$F$6:$F$155,F111))</x:f>
      </x:c>
      <x:c r="I111" s="41" t="str">
        <x:f>IF(COUNT(D111,H111)=2,H111-D111,"")</x:f>
      </x:c>
      <x:c r="J111" s="41" t="str">
        <x:f>IF(A111="","","ALLOCATION - NOT OBSERVATION")</x:f>
      </x:c>
      <x:c r="K111" s="36"/>
      <x:c r="L111" s="41" t="str">
        <x:f>IF(A111="","",IF(AND(ISNUMBER(E111),K111&lt;&gt;"",ABS(G111-1)&lt;=Profile!$B$18,ABS(I111)&lt;=Profile!$B$18),"ARITHMETIC MATCH","HOLD: WEIGHTS / INPUT"))</x:f>
      </x:c>
    </x:row>
    <x:row r="112" ht="23" customHeight="1">
      <x:c r="A112" s="38"/>
      <x:c r="B112" s="36"/>
      <x:c r="C112" s="36"/>
      <x:c r="D112" s="41" t="str">
        <x:f>IF(A112="","",IF(F112="EA",IF(COUNTIF(ExAnte!$A$6:$A$55,A112)=1,IF(ISNUMBER(INDEX(ExAnte!$I$6:$I$55,MATCH(A112,ExAnte!$A$6:$A$55,0))),INDEX(ExAnte!$I$6:$I$55,MATCH(A112,ExAnte!$A$6:$A$55,0)),""),""),IF(F112="EP",IF(COUNTIF(ExPost!$A$6:$A$55,A112)=1,IF(ISNUMBER(INDEX(ExPost!$I$6:$I$55,MATCH(A112,ExPost!$A$6:$A$55,0))),INDEX(ExPost!$I$6:$I$55,MATCH(A112,ExPost!$A$6:$A$55,0)),""),""),"")))</x:f>
      </x:c>
      <x:c r="E112" s="41" t="str">
        <x:f>IF(COUNT(C112:D112)=2,IF(C112&gt;=0,C112*D112,""),"")</x:f>
      </x:c>
      <x:c r="F112" s="36"/>
      <x:c r="G112" s="41" t="str">
        <x:f>IF(A112="","",SUMIFS($C$6:$C$155,$A$6:$A$155,A112,$F$6:$F$155,F112))</x:f>
      </x:c>
      <x:c r="H112" s="41" t="str">
        <x:f>IF(A112="","",SUMIFS($E$6:$E$155,$A$6:$A$155,A112,$F$6:$F$155,F112))</x:f>
      </x:c>
      <x:c r="I112" s="41" t="str">
        <x:f>IF(COUNT(D112,H112)=2,H112-D112,"")</x:f>
      </x:c>
      <x:c r="J112" s="41" t="str">
        <x:f>IF(A112="","","ALLOCATION - NOT OBSERVATION")</x:f>
      </x:c>
      <x:c r="K112" s="36"/>
      <x:c r="L112" s="41" t="str">
        <x:f>IF(A112="","",IF(AND(ISNUMBER(E112),K112&lt;&gt;"",ABS(G112-1)&lt;=Profile!$B$18,ABS(I112)&lt;=Profile!$B$18),"ARITHMETIC MATCH","HOLD: WEIGHTS / INPUT"))</x:f>
      </x:c>
    </x:row>
    <x:row r="113" ht="23" customHeight="1">
      <x:c r="A113" s="38"/>
      <x:c r="B113" s="36"/>
      <x:c r="C113" s="36"/>
      <x:c r="D113" s="41" t="str">
        <x:f>IF(A113="","",IF(F113="EA",IF(COUNTIF(ExAnte!$A$6:$A$55,A113)=1,IF(ISNUMBER(INDEX(ExAnte!$I$6:$I$55,MATCH(A113,ExAnte!$A$6:$A$55,0))),INDEX(ExAnte!$I$6:$I$55,MATCH(A113,ExAnte!$A$6:$A$55,0)),""),""),IF(F113="EP",IF(COUNTIF(ExPost!$A$6:$A$55,A113)=1,IF(ISNUMBER(INDEX(ExPost!$I$6:$I$55,MATCH(A113,ExPost!$A$6:$A$55,0))),INDEX(ExPost!$I$6:$I$55,MATCH(A113,ExPost!$A$6:$A$55,0)),""),""),"")))</x:f>
      </x:c>
      <x:c r="E113" s="41" t="str">
        <x:f>IF(COUNT(C113:D113)=2,IF(C113&gt;=0,C113*D113,""),"")</x:f>
      </x:c>
      <x:c r="F113" s="36"/>
      <x:c r="G113" s="41" t="str">
        <x:f>IF(A113="","",SUMIFS($C$6:$C$155,$A$6:$A$155,A113,$F$6:$F$155,F113))</x:f>
      </x:c>
      <x:c r="H113" s="41" t="str">
        <x:f>IF(A113="","",SUMIFS($E$6:$E$155,$A$6:$A$155,A113,$F$6:$F$155,F113))</x:f>
      </x:c>
      <x:c r="I113" s="41" t="str">
        <x:f>IF(COUNT(D113,H113)=2,H113-D113,"")</x:f>
      </x:c>
      <x:c r="J113" s="41" t="str">
        <x:f>IF(A113="","","ALLOCATION - NOT OBSERVATION")</x:f>
      </x:c>
      <x:c r="K113" s="36"/>
      <x:c r="L113" s="41" t="str">
        <x:f>IF(A113="","",IF(AND(ISNUMBER(E113),K113&lt;&gt;"",ABS(G113-1)&lt;=Profile!$B$18,ABS(I113)&lt;=Profile!$B$18),"ARITHMETIC MATCH","HOLD: WEIGHTS / INPUT"))</x:f>
      </x:c>
    </x:row>
    <x:row r="114" ht="23" customHeight="1">
      <x:c r="A114" s="38"/>
      <x:c r="B114" s="36"/>
      <x:c r="C114" s="36"/>
      <x:c r="D114" s="41" t="str">
        <x:f>IF(A114="","",IF(F114="EA",IF(COUNTIF(ExAnte!$A$6:$A$55,A114)=1,IF(ISNUMBER(INDEX(ExAnte!$I$6:$I$55,MATCH(A114,ExAnte!$A$6:$A$55,0))),INDEX(ExAnte!$I$6:$I$55,MATCH(A114,ExAnte!$A$6:$A$55,0)),""),""),IF(F114="EP",IF(COUNTIF(ExPost!$A$6:$A$55,A114)=1,IF(ISNUMBER(INDEX(ExPost!$I$6:$I$55,MATCH(A114,ExPost!$A$6:$A$55,0))),INDEX(ExPost!$I$6:$I$55,MATCH(A114,ExPost!$A$6:$A$55,0)),""),""),"")))</x:f>
      </x:c>
      <x:c r="E114" s="41" t="str">
        <x:f>IF(COUNT(C114:D114)=2,IF(C114&gt;=0,C114*D114,""),"")</x:f>
      </x:c>
      <x:c r="F114" s="36"/>
      <x:c r="G114" s="41" t="str">
        <x:f>IF(A114="","",SUMIFS($C$6:$C$155,$A$6:$A$155,A114,$F$6:$F$155,F114))</x:f>
      </x:c>
      <x:c r="H114" s="41" t="str">
        <x:f>IF(A114="","",SUMIFS($E$6:$E$155,$A$6:$A$155,A114,$F$6:$F$155,F114))</x:f>
      </x:c>
      <x:c r="I114" s="41" t="str">
        <x:f>IF(COUNT(D114,H114)=2,H114-D114,"")</x:f>
      </x:c>
      <x:c r="J114" s="41" t="str">
        <x:f>IF(A114="","","ALLOCATION - NOT OBSERVATION")</x:f>
      </x:c>
      <x:c r="K114" s="36"/>
      <x:c r="L114" s="41" t="str">
        <x:f>IF(A114="","",IF(AND(ISNUMBER(E114),K114&lt;&gt;"",ABS(G114-1)&lt;=Profile!$B$18,ABS(I114)&lt;=Profile!$B$18),"ARITHMETIC MATCH","HOLD: WEIGHTS / INPUT"))</x:f>
      </x:c>
    </x:row>
    <x:row r="115" ht="23" customHeight="1">
      <x:c r="A115" s="38"/>
      <x:c r="B115" s="36"/>
      <x:c r="C115" s="36"/>
      <x:c r="D115" s="41" t="str">
        <x:f>IF(A115="","",IF(F115="EA",IF(COUNTIF(ExAnte!$A$6:$A$55,A115)=1,IF(ISNUMBER(INDEX(ExAnte!$I$6:$I$55,MATCH(A115,ExAnte!$A$6:$A$55,0))),INDEX(ExAnte!$I$6:$I$55,MATCH(A115,ExAnte!$A$6:$A$55,0)),""),""),IF(F115="EP",IF(COUNTIF(ExPost!$A$6:$A$55,A115)=1,IF(ISNUMBER(INDEX(ExPost!$I$6:$I$55,MATCH(A115,ExPost!$A$6:$A$55,0))),INDEX(ExPost!$I$6:$I$55,MATCH(A115,ExPost!$A$6:$A$55,0)),""),""),"")))</x:f>
      </x:c>
      <x:c r="E115" s="41" t="str">
        <x:f>IF(COUNT(C115:D115)=2,IF(C115&gt;=0,C115*D115,""),"")</x:f>
      </x:c>
      <x:c r="F115" s="36"/>
      <x:c r="G115" s="41" t="str">
        <x:f>IF(A115="","",SUMIFS($C$6:$C$155,$A$6:$A$155,A115,$F$6:$F$155,F115))</x:f>
      </x:c>
      <x:c r="H115" s="41" t="str">
        <x:f>IF(A115="","",SUMIFS($E$6:$E$155,$A$6:$A$155,A115,$F$6:$F$155,F115))</x:f>
      </x:c>
      <x:c r="I115" s="41" t="str">
        <x:f>IF(COUNT(D115,H115)=2,H115-D115,"")</x:f>
      </x:c>
      <x:c r="J115" s="41" t="str">
        <x:f>IF(A115="","","ALLOCATION - NOT OBSERVATION")</x:f>
      </x:c>
      <x:c r="K115" s="36"/>
      <x:c r="L115" s="41" t="str">
        <x:f>IF(A115="","",IF(AND(ISNUMBER(E115),K115&lt;&gt;"",ABS(G115-1)&lt;=Profile!$B$18,ABS(I115)&lt;=Profile!$B$18),"ARITHMETIC MATCH","HOLD: WEIGHTS / INPUT"))</x:f>
      </x:c>
    </x:row>
    <x:row r="116" ht="23" customHeight="1">
      <x:c r="A116" s="38"/>
      <x:c r="B116" s="36"/>
      <x:c r="C116" s="36"/>
      <x:c r="D116" s="41" t="str">
        <x:f>IF(A116="","",IF(F116="EA",IF(COUNTIF(ExAnte!$A$6:$A$55,A116)=1,IF(ISNUMBER(INDEX(ExAnte!$I$6:$I$55,MATCH(A116,ExAnte!$A$6:$A$55,0))),INDEX(ExAnte!$I$6:$I$55,MATCH(A116,ExAnte!$A$6:$A$55,0)),""),""),IF(F116="EP",IF(COUNTIF(ExPost!$A$6:$A$55,A116)=1,IF(ISNUMBER(INDEX(ExPost!$I$6:$I$55,MATCH(A116,ExPost!$A$6:$A$55,0))),INDEX(ExPost!$I$6:$I$55,MATCH(A116,ExPost!$A$6:$A$55,0)),""),""),"")))</x:f>
      </x:c>
      <x:c r="E116" s="41" t="str">
        <x:f>IF(COUNT(C116:D116)=2,IF(C116&gt;=0,C116*D116,""),"")</x:f>
      </x:c>
      <x:c r="F116" s="36"/>
      <x:c r="G116" s="41" t="str">
        <x:f>IF(A116="","",SUMIFS($C$6:$C$155,$A$6:$A$155,A116,$F$6:$F$155,F116))</x:f>
      </x:c>
      <x:c r="H116" s="41" t="str">
        <x:f>IF(A116="","",SUMIFS($E$6:$E$155,$A$6:$A$155,A116,$F$6:$F$155,F116))</x:f>
      </x:c>
      <x:c r="I116" s="41" t="str">
        <x:f>IF(COUNT(D116,H116)=2,H116-D116,"")</x:f>
      </x:c>
      <x:c r="J116" s="41" t="str">
        <x:f>IF(A116="","","ALLOCATION - NOT OBSERVATION")</x:f>
      </x:c>
      <x:c r="K116" s="36"/>
      <x:c r="L116" s="41" t="str">
        <x:f>IF(A116="","",IF(AND(ISNUMBER(E116),K116&lt;&gt;"",ABS(G116-1)&lt;=Profile!$B$18,ABS(I116)&lt;=Profile!$B$18),"ARITHMETIC MATCH","HOLD: WEIGHTS / INPUT"))</x:f>
      </x:c>
    </x:row>
    <x:row r="117" ht="23" customHeight="1">
      <x:c r="A117" s="38"/>
      <x:c r="B117" s="36"/>
      <x:c r="C117" s="36"/>
      <x:c r="D117" s="41" t="str">
        <x:f>IF(A117="","",IF(F117="EA",IF(COUNTIF(ExAnte!$A$6:$A$55,A117)=1,IF(ISNUMBER(INDEX(ExAnte!$I$6:$I$55,MATCH(A117,ExAnte!$A$6:$A$55,0))),INDEX(ExAnte!$I$6:$I$55,MATCH(A117,ExAnte!$A$6:$A$55,0)),""),""),IF(F117="EP",IF(COUNTIF(ExPost!$A$6:$A$55,A117)=1,IF(ISNUMBER(INDEX(ExPost!$I$6:$I$55,MATCH(A117,ExPost!$A$6:$A$55,0))),INDEX(ExPost!$I$6:$I$55,MATCH(A117,ExPost!$A$6:$A$55,0)),""),""),"")))</x:f>
      </x:c>
      <x:c r="E117" s="41" t="str">
        <x:f>IF(COUNT(C117:D117)=2,IF(C117&gt;=0,C117*D117,""),"")</x:f>
      </x:c>
      <x:c r="F117" s="36"/>
      <x:c r="G117" s="41" t="str">
        <x:f>IF(A117="","",SUMIFS($C$6:$C$155,$A$6:$A$155,A117,$F$6:$F$155,F117))</x:f>
      </x:c>
      <x:c r="H117" s="41" t="str">
        <x:f>IF(A117="","",SUMIFS($E$6:$E$155,$A$6:$A$155,A117,$F$6:$F$155,F117))</x:f>
      </x:c>
      <x:c r="I117" s="41" t="str">
        <x:f>IF(COUNT(D117,H117)=2,H117-D117,"")</x:f>
      </x:c>
      <x:c r="J117" s="41" t="str">
        <x:f>IF(A117="","","ALLOCATION - NOT OBSERVATION")</x:f>
      </x:c>
      <x:c r="K117" s="36"/>
      <x:c r="L117" s="41" t="str">
        <x:f>IF(A117="","",IF(AND(ISNUMBER(E117),K117&lt;&gt;"",ABS(G117-1)&lt;=Profile!$B$18,ABS(I117)&lt;=Profile!$B$18),"ARITHMETIC MATCH","HOLD: WEIGHTS / INPUT"))</x:f>
      </x:c>
    </x:row>
    <x:row r="118" ht="23" customHeight="1">
      <x:c r="A118" s="38"/>
      <x:c r="B118" s="36"/>
      <x:c r="C118" s="36"/>
      <x:c r="D118" s="41" t="str">
        <x:f>IF(A118="","",IF(F118="EA",IF(COUNTIF(ExAnte!$A$6:$A$55,A118)=1,IF(ISNUMBER(INDEX(ExAnte!$I$6:$I$55,MATCH(A118,ExAnte!$A$6:$A$55,0))),INDEX(ExAnte!$I$6:$I$55,MATCH(A118,ExAnte!$A$6:$A$55,0)),""),""),IF(F118="EP",IF(COUNTIF(ExPost!$A$6:$A$55,A118)=1,IF(ISNUMBER(INDEX(ExPost!$I$6:$I$55,MATCH(A118,ExPost!$A$6:$A$55,0))),INDEX(ExPost!$I$6:$I$55,MATCH(A118,ExPost!$A$6:$A$55,0)),""),""),"")))</x:f>
      </x:c>
      <x:c r="E118" s="41" t="str">
        <x:f>IF(COUNT(C118:D118)=2,IF(C118&gt;=0,C118*D118,""),"")</x:f>
      </x:c>
      <x:c r="F118" s="36"/>
      <x:c r="G118" s="41" t="str">
        <x:f>IF(A118="","",SUMIFS($C$6:$C$155,$A$6:$A$155,A118,$F$6:$F$155,F118))</x:f>
      </x:c>
      <x:c r="H118" s="41" t="str">
        <x:f>IF(A118="","",SUMIFS($E$6:$E$155,$A$6:$A$155,A118,$F$6:$F$155,F118))</x:f>
      </x:c>
      <x:c r="I118" s="41" t="str">
        <x:f>IF(COUNT(D118,H118)=2,H118-D118,"")</x:f>
      </x:c>
      <x:c r="J118" s="41" t="str">
        <x:f>IF(A118="","","ALLOCATION - NOT OBSERVATION")</x:f>
      </x:c>
      <x:c r="K118" s="36"/>
      <x:c r="L118" s="41" t="str">
        <x:f>IF(A118="","",IF(AND(ISNUMBER(E118),K118&lt;&gt;"",ABS(G118-1)&lt;=Profile!$B$18,ABS(I118)&lt;=Profile!$B$18),"ARITHMETIC MATCH","HOLD: WEIGHTS / INPUT"))</x:f>
      </x:c>
    </x:row>
    <x:row r="119" ht="23" customHeight="1">
      <x:c r="A119" s="38"/>
      <x:c r="B119" s="36"/>
      <x:c r="C119" s="36"/>
      <x:c r="D119" s="41" t="str">
        <x:f>IF(A119="","",IF(F119="EA",IF(COUNTIF(ExAnte!$A$6:$A$55,A119)=1,IF(ISNUMBER(INDEX(ExAnte!$I$6:$I$55,MATCH(A119,ExAnte!$A$6:$A$55,0))),INDEX(ExAnte!$I$6:$I$55,MATCH(A119,ExAnte!$A$6:$A$55,0)),""),""),IF(F119="EP",IF(COUNTIF(ExPost!$A$6:$A$55,A119)=1,IF(ISNUMBER(INDEX(ExPost!$I$6:$I$55,MATCH(A119,ExPost!$A$6:$A$55,0))),INDEX(ExPost!$I$6:$I$55,MATCH(A119,ExPost!$A$6:$A$55,0)),""),""),"")))</x:f>
      </x:c>
      <x:c r="E119" s="41" t="str">
        <x:f>IF(COUNT(C119:D119)=2,IF(C119&gt;=0,C119*D119,""),"")</x:f>
      </x:c>
      <x:c r="F119" s="36"/>
      <x:c r="G119" s="41" t="str">
        <x:f>IF(A119="","",SUMIFS($C$6:$C$155,$A$6:$A$155,A119,$F$6:$F$155,F119))</x:f>
      </x:c>
      <x:c r="H119" s="41" t="str">
        <x:f>IF(A119="","",SUMIFS($E$6:$E$155,$A$6:$A$155,A119,$F$6:$F$155,F119))</x:f>
      </x:c>
      <x:c r="I119" s="41" t="str">
        <x:f>IF(COUNT(D119,H119)=2,H119-D119,"")</x:f>
      </x:c>
      <x:c r="J119" s="41" t="str">
        <x:f>IF(A119="","","ALLOCATION - NOT OBSERVATION")</x:f>
      </x:c>
      <x:c r="K119" s="36"/>
      <x:c r="L119" s="41" t="str">
        <x:f>IF(A119="","",IF(AND(ISNUMBER(E119),K119&lt;&gt;"",ABS(G119-1)&lt;=Profile!$B$18,ABS(I119)&lt;=Profile!$B$18),"ARITHMETIC MATCH","HOLD: WEIGHTS / INPUT"))</x:f>
      </x:c>
    </x:row>
    <x:row r="120" ht="23" customHeight="1">
      <x:c r="A120" s="38"/>
      <x:c r="B120" s="36"/>
      <x:c r="C120" s="36"/>
      <x:c r="D120" s="41" t="str">
        <x:f>IF(A120="","",IF(F120="EA",IF(COUNTIF(ExAnte!$A$6:$A$55,A120)=1,IF(ISNUMBER(INDEX(ExAnte!$I$6:$I$55,MATCH(A120,ExAnte!$A$6:$A$55,0))),INDEX(ExAnte!$I$6:$I$55,MATCH(A120,ExAnte!$A$6:$A$55,0)),""),""),IF(F120="EP",IF(COUNTIF(ExPost!$A$6:$A$55,A120)=1,IF(ISNUMBER(INDEX(ExPost!$I$6:$I$55,MATCH(A120,ExPost!$A$6:$A$55,0))),INDEX(ExPost!$I$6:$I$55,MATCH(A120,ExPost!$A$6:$A$55,0)),""),""),"")))</x:f>
      </x:c>
      <x:c r="E120" s="41" t="str">
        <x:f>IF(COUNT(C120:D120)=2,IF(C120&gt;=0,C120*D120,""),"")</x:f>
      </x:c>
      <x:c r="F120" s="36"/>
      <x:c r="G120" s="41" t="str">
        <x:f>IF(A120="","",SUMIFS($C$6:$C$155,$A$6:$A$155,A120,$F$6:$F$155,F120))</x:f>
      </x:c>
      <x:c r="H120" s="41" t="str">
        <x:f>IF(A120="","",SUMIFS($E$6:$E$155,$A$6:$A$155,A120,$F$6:$F$155,F120))</x:f>
      </x:c>
      <x:c r="I120" s="41" t="str">
        <x:f>IF(COUNT(D120,H120)=2,H120-D120,"")</x:f>
      </x:c>
      <x:c r="J120" s="41" t="str">
        <x:f>IF(A120="","","ALLOCATION - NOT OBSERVATION")</x:f>
      </x:c>
      <x:c r="K120" s="36"/>
      <x:c r="L120" s="41" t="str">
        <x:f>IF(A120="","",IF(AND(ISNUMBER(E120),K120&lt;&gt;"",ABS(G120-1)&lt;=Profile!$B$18,ABS(I120)&lt;=Profile!$B$18),"ARITHMETIC MATCH","HOLD: WEIGHTS / INPUT"))</x:f>
      </x:c>
    </x:row>
    <x:row r="121" ht="23" customHeight="1">
      <x:c r="A121" s="38"/>
      <x:c r="B121" s="36"/>
      <x:c r="C121" s="36"/>
      <x:c r="D121" s="41" t="str">
        <x:f>IF(A121="","",IF(F121="EA",IF(COUNTIF(ExAnte!$A$6:$A$55,A121)=1,IF(ISNUMBER(INDEX(ExAnte!$I$6:$I$55,MATCH(A121,ExAnte!$A$6:$A$55,0))),INDEX(ExAnte!$I$6:$I$55,MATCH(A121,ExAnte!$A$6:$A$55,0)),""),""),IF(F121="EP",IF(COUNTIF(ExPost!$A$6:$A$55,A121)=1,IF(ISNUMBER(INDEX(ExPost!$I$6:$I$55,MATCH(A121,ExPost!$A$6:$A$55,0))),INDEX(ExPost!$I$6:$I$55,MATCH(A121,ExPost!$A$6:$A$55,0)),""),""),"")))</x:f>
      </x:c>
      <x:c r="E121" s="41" t="str">
        <x:f>IF(COUNT(C121:D121)=2,IF(C121&gt;=0,C121*D121,""),"")</x:f>
      </x:c>
      <x:c r="F121" s="36"/>
      <x:c r="G121" s="41" t="str">
        <x:f>IF(A121="","",SUMIFS($C$6:$C$155,$A$6:$A$155,A121,$F$6:$F$155,F121))</x:f>
      </x:c>
      <x:c r="H121" s="41" t="str">
        <x:f>IF(A121="","",SUMIFS($E$6:$E$155,$A$6:$A$155,A121,$F$6:$F$155,F121))</x:f>
      </x:c>
      <x:c r="I121" s="41" t="str">
        <x:f>IF(COUNT(D121,H121)=2,H121-D121,"")</x:f>
      </x:c>
      <x:c r="J121" s="41" t="str">
        <x:f>IF(A121="","","ALLOCATION - NOT OBSERVATION")</x:f>
      </x:c>
      <x:c r="K121" s="36"/>
      <x:c r="L121" s="41" t="str">
        <x:f>IF(A121="","",IF(AND(ISNUMBER(E121),K121&lt;&gt;"",ABS(G121-1)&lt;=Profile!$B$18,ABS(I121)&lt;=Profile!$B$18),"ARITHMETIC MATCH","HOLD: WEIGHTS / INPUT"))</x:f>
      </x:c>
    </x:row>
    <x:row r="122" ht="23" customHeight="1">
      <x:c r="A122" s="38"/>
      <x:c r="B122" s="36"/>
      <x:c r="C122" s="36"/>
      <x:c r="D122" s="41" t="str">
        <x:f>IF(A122="","",IF(F122="EA",IF(COUNTIF(ExAnte!$A$6:$A$55,A122)=1,IF(ISNUMBER(INDEX(ExAnte!$I$6:$I$55,MATCH(A122,ExAnte!$A$6:$A$55,0))),INDEX(ExAnte!$I$6:$I$55,MATCH(A122,ExAnte!$A$6:$A$55,0)),""),""),IF(F122="EP",IF(COUNTIF(ExPost!$A$6:$A$55,A122)=1,IF(ISNUMBER(INDEX(ExPost!$I$6:$I$55,MATCH(A122,ExPost!$A$6:$A$55,0))),INDEX(ExPost!$I$6:$I$55,MATCH(A122,ExPost!$A$6:$A$55,0)),""),""),"")))</x:f>
      </x:c>
      <x:c r="E122" s="41" t="str">
        <x:f>IF(COUNT(C122:D122)=2,IF(C122&gt;=0,C122*D122,""),"")</x:f>
      </x:c>
      <x:c r="F122" s="36"/>
      <x:c r="G122" s="41" t="str">
        <x:f>IF(A122="","",SUMIFS($C$6:$C$155,$A$6:$A$155,A122,$F$6:$F$155,F122))</x:f>
      </x:c>
      <x:c r="H122" s="41" t="str">
        <x:f>IF(A122="","",SUMIFS($E$6:$E$155,$A$6:$A$155,A122,$F$6:$F$155,F122))</x:f>
      </x:c>
      <x:c r="I122" s="41" t="str">
        <x:f>IF(COUNT(D122,H122)=2,H122-D122,"")</x:f>
      </x:c>
      <x:c r="J122" s="41" t="str">
        <x:f>IF(A122="","","ALLOCATION - NOT OBSERVATION")</x:f>
      </x:c>
      <x:c r="K122" s="36"/>
      <x:c r="L122" s="41" t="str">
        <x:f>IF(A122="","",IF(AND(ISNUMBER(E122),K122&lt;&gt;"",ABS(G122-1)&lt;=Profile!$B$18,ABS(I122)&lt;=Profile!$B$18),"ARITHMETIC MATCH","HOLD: WEIGHTS / INPUT"))</x:f>
      </x:c>
    </x:row>
    <x:row r="123" ht="23" customHeight="1">
      <x:c r="A123" s="38"/>
      <x:c r="B123" s="36"/>
      <x:c r="C123" s="36"/>
      <x:c r="D123" s="41" t="str">
        <x:f>IF(A123="","",IF(F123="EA",IF(COUNTIF(ExAnte!$A$6:$A$55,A123)=1,IF(ISNUMBER(INDEX(ExAnte!$I$6:$I$55,MATCH(A123,ExAnte!$A$6:$A$55,0))),INDEX(ExAnte!$I$6:$I$55,MATCH(A123,ExAnte!$A$6:$A$55,0)),""),""),IF(F123="EP",IF(COUNTIF(ExPost!$A$6:$A$55,A123)=1,IF(ISNUMBER(INDEX(ExPost!$I$6:$I$55,MATCH(A123,ExPost!$A$6:$A$55,0))),INDEX(ExPost!$I$6:$I$55,MATCH(A123,ExPost!$A$6:$A$55,0)),""),""),"")))</x:f>
      </x:c>
      <x:c r="E123" s="41" t="str">
        <x:f>IF(COUNT(C123:D123)=2,IF(C123&gt;=0,C123*D123,""),"")</x:f>
      </x:c>
      <x:c r="F123" s="36"/>
      <x:c r="G123" s="41" t="str">
        <x:f>IF(A123="","",SUMIFS($C$6:$C$155,$A$6:$A$155,A123,$F$6:$F$155,F123))</x:f>
      </x:c>
      <x:c r="H123" s="41" t="str">
        <x:f>IF(A123="","",SUMIFS($E$6:$E$155,$A$6:$A$155,A123,$F$6:$F$155,F123))</x:f>
      </x:c>
      <x:c r="I123" s="41" t="str">
        <x:f>IF(COUNT(D123,H123)=2,H123-D123,"")</x:f>
      </x:c>
      <x:c r="J123" s="41" t="str">
        <x:f>IF(A123="","","ALLOCATION - NOT OBSERVATION")</x:f>
      </x:c>
      <x:c r="K123" s="36"/>
      <x:c r="L123" s="41" t="str">
        <x:f>IF(A123="","",IF(AND(ISNUMBER(E123),K123&lt;&gt;"",ABS(G123-1)&lt;=Profile!$B$18,ABS(I123)&lt;=Profile!$B$18),"ARITHMETIC MATCH","HOLD: WEIGHTS / INPUT"))</x:f>
      </x:c>
    </x:row>
    <x:row r="124" ht="23" customHeight="1">
      <x:c r="A124" s="38"/>
      <x:c r="B124" s="36"/>
      <x:c r="C124" s="36"/>
      <x:c r="D124" s="41" t="str">
        <x:f>IF(A124="","",IF(F124="EA",IF(COUNTIF(ExAnte!$A$6:$A$55,A124)=1,IF(ISNUMBER(INDEX(ExAnte!$I$6:$I$55,MATCH(A124,ExAnte!$A$6:$A$55,0))),INDEX(ExAnte!$I$6:$I$55,MATCH(A124,ExAnte!$A$6:$A$55,0)),""),""),IF(F124="EP",IF(COUNTIF(ExPost!$A$6:$A$55,A124)=1,IF(ISNUMBER(INDEX(ExPost!$I$6:$I$55,MATCH(A124,ExPost!$A$6:$A$55,0))),INDEX(ExPost!$I$6:$I$55,MATCH(A124,ExPost!$A$6:$A$55,0)),""),""),"")))</x:f>
      </x:c>
      <x:c r="E124" s="41" t="str">
        <x:f>IF(COUNT(C124:D124)=2,IF(C124&gt;=0,C124*D124,""),"")</x:f>
      </x:c>
      <x:c r="F124" s="36"/>
      <x:c r="G124" s="41" t="str">
        <x:f>IF(A124="","",SUMIFS($C$6:$C$155,$A$6:$A$155,A124,$F$6:$F$155,F124))</x:f>
      </x:c>
      <x:c r="H124" s="41" t="str">
        <x:f>IF(A124="","",SUMIFS($E$6:$E$155,$A$6:$A$155,A124,$F$6:$F$155,F124))</x:f>
      </x:c>
      <x:c r="I124" s="41" t="str">
        <x:f>IF(COUNT(D124,H124)=2,H124-D124,"")</x:f>
      </x:c>
      <x:c r="J124" s="41" t="str">
        <x:f>IF(A124="","","ALLOCATION - NOT OBSERVATION")</x:f>
      </x:c>
      <x:c r="K124" s="36"/>
      <x:c r="L124" s="41" t="str">
        <x:f>IF(A124="","",IF(AND(ISNUMBER(E124),K124&lt;&gt;"",ABS(G124-1)&lt;=Profile!$B$18,ABS(I124)&lt;=Profile!$B$18),"ARITHMETIC MATCH","HOLD: WEIGHTS / INPUT"))</x:f>
      </x:c>
    </x:row>
    <x:row r="125" ht="23" customHeight="1">
      <x:c r="A125" s="38"/>
      <x:c r="B125" s="36"/>
      <x:c r="C125" s="36"/>
      <x:c r="D125" s="41" t="str">
        <x:f>IF(A125="","",IF(F125="EA",IF(COUNTIF(ExAnte!$A$6:$A$55,A125)=1,IF(ISNUMBER(INDEX(ExAnte!$I$6:$I$55,MATCH(A125,ExAnte!$A$6:$A$55,0))),INDEX(ExAnte!$I$6:$I$55,MATCH(A125,ExAnte!$A$6:$A$55,0)),""),""),IF(F125="EP",IF(COUNTIF(ExPost!$A$6:$A$55,A125)=1,IF(ISNUMBER(INDEX(ExPost!$I$6:$I$55,MATCH(A125,ExPost!$A$6:$A$55,0))),INDEX(ExPost!$I$6:$I$55,MATCH(A125,ExPost!$A$6:$A$55,0)),""),""),"")))</x:f>
      </x:c>
      <x:c r="E125" s="41" t="str">
        <x:f>IF(COUNT(C125:D125)=2,IF(C125&gt;=0,C125*D125,""),"")</x:f>
      </x:c>
      <x:c r="F125" s="36"/>
      <x:c r="G125" s="41" t="str">
        <x:f>IF(A125="","",SUMIFS($C$6:$C$155,$A$6:$A$155,A125,$F$6:$F$155,F125))</x:f>
      </x:c>
      <x:c r="H125" s="41" t="str">
        <x:f>IF(A125="","",SUMIFS($E$6:$E$155,$A$6:$A$155,A125,$F$6:$F$155,F125))</x:f>
      </x:c>
      <x:c r="I125" s="41" t="str">
        <x:f>IF(COUNT(D125,H125)=2,H125-D125,"")</x:f>
      </x:c>
      <x:c r="J125" s="41" t="str">
        <x:f>IF(A125="","","ALLOCATION - NOT OBSERVATION")</x:f>
      </x:c>
      <x:c r="K125" s="36"/>
      <x:c r="L125" s="41" t="str">
        <x:f>IF(A125="","",IF(AND(ISNUMBER(E125),K125&lt;&gt;"",ABS(G125-1)&lt;=Profile!$B$18,ABS(I125)&lt;=Profile!$B$18),"ARITHMETIC MATCH","HOLD: WEIGHTS / INPUT"))</x:f>
      </x:c>
    </x:row>
    <x:row r="126" ht="23" customHeight="1">
      <x:c r="A126" s="38"/>
      <x:c r="B126" s="36"/>
      <x:c r="C126" s="36"/>
      <x:c r="D126" s="41" t="str">
        <x:f>IF(A126="","",IF(F126="EA",IF(COUNTIF(ExAnte!$A$6:$A$55,A126)=1,IF(ISNUMBER(INDEX(ExAnte!$I$6:$I$55,MATCH(A126,ExAnte!$A$6:$A$55,0))),INDEX(ExAnte!$I$6:$I$55,MATCH(A126,ExAnte!$A$6:$A$55,0)),""),""),IF(F126="EP",IF(COUNTIF(ExPost!$A$6:$A$55,A126)=1,IF(ISNUMBER(INDEX(ExPost!$I$6:$I$55,MATCH(A126,ExPost!$A$6:$A$55,0))),INDEX(ExPost!$I$6:$I$55,MATCH(A126,ExPost!$A$6:$A$55,0)),""),""),"")))</x:f>
      </x:c>
      <x:c r="E126" s="41" t="str">
        <x:f>IF(COUNT(C126:D126)=2,IF(C126&gt;=0,C126*D126,""),"")</x:f>
      </x:c>
      <x:c r="F126" s="36"/>
      <x:c r="G126" s="41" t="str">
        <x:f>IF(A126="","",SUMIFS($C$6:$C$155,$A$6:$A$155,A126,$F$6:$F$155,F126))</x:f>
      </x:c>
      <x:c r="H126" s="41" t="str">
        <x:f>IF(A126="","",SUMIFS($E$6:$E$155,$A$6:$A$155,A126,$F$6:$F$155,F126))</x:f>
      </x:c>
      <x:c r="I126" s="41" t="str">
        <x:f>IF(COUNT(D126,H126)=2,H126-D126,"")</x:f>
      </x:c>
      <x:c r="J126" s="41" t="str">
        <x:f>IF(A126="","","ALLOCATION - NOT OBSERVATION")</x:f>
      </x:c>
      <x:c r="K126" s="36"/>
      <x:c r="L126" s="41" t="str">
        <x:f>IF(A126="","",IF(AND(ISNUMBER(E126),K126&lt;&gt;"",ABS(G126-1)&lt;=Profile!$B$18,ABS(I126)&lt;=Profile!$B$18),"ARITHMETIC MATCH","HOLD: WEIGHTS / INPUT"))</x:f>
      </x:c>
    </x:row>
    <x:row r="127" ht="23" customHeight="1">
      <x:c r="A127" s="38"/>
      <x:c r="B127" s="36"/>
      <x:c r="C127" s="36"/>
      <x:c r="D127" s="41" t="str">
        <x:f>IF(A127="","",IF(F127="EA",IF(COUNTIF(ExAnte!$A$6:$A$55,A127)=1,IF(ISNUMBER(INDEX(ExAnte!$I$6:$I$55,MATCH(A127,ExAnte!$A$6:$A$55,0))),INDEX(ExAnte!$I$6:$I$55,MATCH(A127,ExAnte!$A$6:$A$55,0)),""),""),IF(F127="EP",IF(COUNTIF(ExPost!$A$6:$A$55,A127)=1,IF(ISNUMBER(INDEX(ExPost!$I$6:$I$55,MATCH(A127,ExPost!$A$6:$A$55,0))),INDEX(ExPost!$I$6:$I$55,MATCH(A127,ExPost!$A$6:$A$55,0)),""),""),"")))</x:f>
      </x:c>
      <x:c r="E127" s="41" t="str">
        <x:f>IF(COUNT(C127:D127)=2,IF(C127&gt;=0,C127*D127,""),"")</x:f>
      </x:c>
      <x:c r="F127" s="36"/>
      <x:c r="G127" s="41" t="str">
        <x:f>IF(A127="","",SUMIFS($C$6:$C$155,$A$6:$A$155,A127,$F$6:$F$155,F127))</x:f>
      </x:c>
      <x:c r="H127" s="41" t="str">
        <x:f>IF(A127="","",SUMIFS($E$6:$E$155,$A$6:$A$155,A127,$F$6:$F$155,F127))</x:f>
      </x:c>
      <x:c r="I127" s="41" t="str">
        <x:f>IF(COUNT(D127,H127)=2,H127-D127,"")</x:f>
      </x:c>
      <x:c r="J127" s="41" t="str">
        <x:f>IF(A127="","","ALLOCATION - NOT OBSERVATION")</x:f>
      </x:c>
      <x:c r="K127" s="36"/>
      <x:c r="L127" s="41" t="str">
        <x:f>IF(A127="","",IF(AND(ISNUMBER(E127),K127&lt;&gt;"",ABS(G127-1)&lt;=Profile!$B$18,ABS(I127)&lt;=Profile!$B$18),"ARITHMETIC MATCH","HOLD: WEIGHTS / INPUT"))</x:f>
      </x:c>
    </x:row>
    <x:row r="128" ht="23" customHeight="1">
      <x:c r="A128" s="38"/>
      <x:c r="B128" s="36"/>
      <x:c r="C128" s="36"/>
      <x:c r="D128" s="41" t="str">
        <x:f>IF(A128="","",IF(F128="EA",IF(COUNTIF(ExAnte!$A$6:$A$55,A128)=1,IF(ISNUMBER(INDEX(ExAnte!$I$6:$I$55,MATCH(A128,ExAnte!$A$6:$A$55,0))),INDEX(ExAnte!$I$6:$I$55,MATCH(A128,ExAnte!$A$6:$A$55,0)),""),""),IF(F128="EP",IF(COUNTIF(ExPost!$A$6:$A$55,A128)=1,IF(ISNUMBER(INDEX(ExPost!$I$6:$I$55,MATCH(A128,ExPost!$A$6:$A$55,0))),INDEX(ExPost!$I$6:$I$55,MATCH(A128,ExPost!$A$6:$A$55,0)),""),""),"")))</x:f>
      </x:c>
      <x:c r="E128" s="41" t="str">
        <x:f>IF(COUNT(C128:D128)=2,IF(C128&gt;=0,C128*D128,""),"")</x:f>
      </x:c>
      <x:c r="F128" s="36"/>
      <x:c r="G128" s="41" t="str">
        <x:f>IF(A128="","",SUMIFS($C$6:$C$155,$A$6:$A$155,A128,$F$6:$F$155,F128))</x:f>
      </x:c>
      <x:c r="H128" s="41" t="str">
        <x:f>IF(A128="","",SUMIFS($E$6:$E$155,$A$6:$A$155,A128,$F$6:$F$155,F128))</x:f>
      </x:c>
      <x:c r="I128" s="41" t="str">
        <x:f>IF(COUNT(D128,H128)=2,H128-D128,"")</x:f>
      </x:c>
      <x:c r="J128" s="41" t="str">
        <x:f>IF(A128="","","ALLOCATION - NOT OBSERVATION")</x:f>
      </x:c>
      <x:c r="K128" s="36"/>
      <x:c r="L128" s="41" t="str">
        <x:f>IF(A128="","",IF(AND(ISNUMBER(E128),K128&lt;&gt;"",ABS(G128-1)&lt;=Profile!$B$18,ABS(I128)&lt;=Profile!$B$18),"ARITHMETIC MATCH","HOLD: WEIGHTS / INPUT"))</x:f>
      </x:c>
    </x:row>
    <x:row r="129" ht="23" customHeight="1">
      <x:c r="A129" s="38"/>
      <x:c r="B129" s="36"/>
      <x:c r="C129" s="36"/>
      <x:c r="D129" s="41" t="str">
        <x:f>IF(A129="","",IF(F129="EA",IF(COUNTIF(ExAnte!$A$6:$A$55,A129)=1,IF(ISNUMBER(INDEX(ExAnte!$I$6:$I$55,MATCH(A129,ExAnte!$A$6:$A$55,0))),INDEX(ExAnte!$I$6:$I$55,MATCH(A129,ExAnte!$A$6:$A$55,0)),""),""),IF(F129="EP",IF(COUNTIF(ExPost!$A$6:$A$55,A129)=1,IF(ISNUMBER(INDEX(ExPost!$I$6:$I$55,MATCH(A129,ExPost!$A$6:$A$55,0))),INDEX(ExPost!$I$6:$I$55,MATCH(A129,ExPost!$A$6:$A$55,0)),""),""),"")))</x:f>
      </x:c>
      <x:c r="E129" s="41" t="str">
        <x:f>IF(COUNT(C129:D129)=2,IF(C129&gt;=0,C129*D129,""),"")</x:f>
      </x:c>
      <x:c r="F129" s="36"/>
      <x:c r="G129" s="41" t="str">
        <x:f>IF(A129="","",SUMIFS($C$6:$C$155,$A$6:$A$155,A129,$F$6:$F$155,F129))</x:f>
      </x:c>
      <x:c r="H129" s="41" t="str">
        <x:f>IF(A129="","",SUMIFS($E$6:$E$155,$A$6:$A$155,A129,$F$6:$F$155,F129))</x:f>
      </x:c>
      <x:c r="I129" s="41" t="str">
        <x:f>IF(COUNT(D129,H129)=2,H129-D129,"")</x:f>
      </x:c>
      <x:c r="J129" s="41" t="str">
        <x:f>IF(A129="","","ALLOCATION - NOT OBSERVATION")</x:f>
      </x:c>
      <x:c r="K129" s="36"/>
      <x:c r="L129" s="41" t="str">
        <x:f>IF(A129="","",IF(AND(ISNUMBER(E129),K129&lt;&gt;"",ABS(G129-1)&lt;=Profile!$B$18,ABS(I129)&lt;=Profile!$B$18),"ARITHMETIC MATCH","HOLD: WEIGHTS / INPUT"))</x:f>
      </x:c>
    </x:row>
    <x:row r="130" ht="23" customHeight="1">
      <x:c r="A130" s="38"/>
      <x:c r="B130" s="36"/>
      <x:c r="C130" s="36"/>
      <x:c r="D130" s="41" t="str">
        <x:f>IF(A130="","",IF(F130="EA",IF(COUNTIF(ExAnte!$A$6:$A$55,A130)=1,IF(ISNUMBER(INDEX(ExAnte!$I$6:$I$55,MATCH(A130,ExAnte!$A$6:$A$55,0))),INDEX(ExAnte!$I$6:$I$55,MATCH(A130,ExAnte!$A$6:$A$55,0)),""),""),IF(F130="EP",IF(COUNTIF(ExPost!$A$6:$A$55,A130)=1,IF(ISNUMBER(INDEX(ExPost!$I$6:$I$55,MATCH(A130,ExPost!$A$6:$A$55,0))),INDEX(ExPost!$I$6:$I$55,MATCH(A130,ExPost!$A$6:$A$55,0)),""),""),"")))</x:f>
      </x:c>
      <x:c r="E130" s="41" t="str">
        <x:f>IF(COUNT(C130:D130)=2,IF(C130&gt;=0,C130*D130,""),"")</x:f>
      </x:c>
      <x:c r="F130" s="36"/>
      <x:c r="G130" s="41" t="str">
        <x:f>IF(A130="","",SUMIFS($C$6:$C$155,$A$6:$A$155,A130,$F$6:$F$155,F130))</x:f>
      </x:c>
      <x:c r="H130" s="41" t="str">
        <x:f>IF(A130="","",SUMIFS($E$6:$E$155,$A$6:$A$155,A130,$F$6:$F$155,F130))</x:f>
      </x:c>
      <x:c r="I130" s="41" t="str">
        <x:f>IF(COUNT(D130,H130)=2,H130-D130,"")</x:f>
      </x:c>
      <x:c r="J130" s="41" t="str">
        <x:f>IF(A130="","","ALLOCATION - NOT OBSERVATION")</x:f>
      </x:c>
      <x:c r="K130" s="36"/>
      <x:c r="L130" s="41" t="str">
        <x:f>IF(A130="","",IF(AND(ISNUMBER(E130),K130&lt;&gt;"",ABS(G130-1)&lt;=Profile!$B$18,ABS(I130)&lt;=Profile!$B$18),"ARITHMETIC MATCH","HOLD: WEIGHTS / INPUT"))</x:f>
      </x:c>
    </x:row>
    <x:row r="131" ht="23" customHeight="1">
      <x:c r="A131" s="38"/>
      <x:c r="B131" s="36"/>
      <x:c r="C131" s="36"/>
      <x:c r="D131" s="41" t="str">
        <x:f>IF(A131="","",IF(F131="EA",IF(COUNTIF(ExAnte!$A$6:$A$55,A131)=1,IF(ISNUMBER(INDEX(ExAnte!$I$6:$I$55,MATCH(A131,ExAnte!$A$6:$A$55,0))),INDEX(ExAnte!$I$6:$I$55,MATCH(A131,ExAnte!$A$6:$A$55,0)),""),""),IF(F131="EP",IF(COUNTIF(ExPost!$A$6:$A$55,A131)=1,IF(ISNUMBER(INDEX(ExPost!$I$6:$I$55,MATCH(A131,ExPost!$A$6:$A$55,0))),INDEX(ExPost!$I$6:$I$55,MATCH(A131,ExPost!$A$6:$A$55,0)),""),""),"")))</x:f>
      </x:c>
      <x:c r="E131" s="41" t="str">
        <x:f>IF(COUNT(C131:D131)=2,IF(C131&gt;=0,C131*D131,""),"")</x:f>
      </x:c>
      <x:c r="F131" s="36"/>
      <x:c r="G131" s="41" t="str">
        <x:f>IF(A131="","",SUMIFS($C$6:$C$155,$A$6:$A$155,A131,$F$6:$F$155,F131))</x:f>
      </x:c>
      <x:c r="H131" s="41" t="str">
        <x:f>IF(A131="","",SUMIFS($E$6:$E$155,$A$6:$A$155,A131,$F$6:$F$155,F131))</x:f>
      </x:c>
      <x:c r="I131" s="41" t="str">
        <x:f>IF(COUNT(D131,H131)=2,H131-D131,"")</x:f>
      </x:c>
      <x:c r="J131" s="41" t="str">
        <x:f>IF(A131="","","ALLOCATION - NOT OBSERVATION")</x:f>
      </x:c>
      <x:c r="K131" s="36"/>
      <x:c r="L131" s="41" t="str">
        <x:f>IF(A131="","",IF(AND(ISNUMBER(E131),K131&lt;&gt;"",ABS(G131-1)&lt;=Profile!$B$18,ABS(I131)&lt;=Profile!$B$18),"ARITHMETIC MATCH","HOLD: WEIGHTS / INPUT"))</x:f>
      </x:c>
    </x:row>
    <x:row r="132" ht="23" customHeight="1">
      <x:c r="A132" s="38"/>
      <x:c r="B132" s="36"/>
      <x:c r="C132" s="36"/>
      <x:c r="D132" s="41" t="str">
        <x:f>IF(A132="","",IF(F132="EA",IF(COUNTIF(ExAnte!$A$6:$A$55,A132)=1,IF(ISNUMBER(INDEX(ExAnte!$I$6:$I$55,MATCH(A132,ExAnte!$A$6:$A$55,0))),INDEX(ExAnte!$I$6:$I$55,MATCH(A132,ExAnte!$A$6:$A$55,0)),""),""),IF(F132="EP",IF(COUNTIF(ExPost!$A$6:$A$55,A132)=1,IF(ISNUMBER(INDEX(ExPost!$I$6:$I$55,MATCH(A132,ExPost!$A$6:$A$55,0))),INDEX(ExPost!$I$6:$I$55,MATCH(A132,ExPost!$A$6:$A$55,0)),""),""),"")))</x:f>
      </x:c>
      <x:c r="E132" s="41" t="str">
        <x:f>IF(COUNT(C132:D132)=2,IF(C132&gt;=0,C132*D132,""),"")</x:f>
      </x:c>
      <x:c r="F132" s="36"/>
      <x:c r="G132" s="41" t="str">
        <x:f>IF(A132="","",SUMIFS($C$6:$C$155,$A$6:$A$155,A132,$F$6:$F$155,F132))</x:f>
      </x:c>
      <x:c r="H132" s="41" t="str">
        <x:f>IF(A132="","",SUMIFS($E$6:$E$155,$A$6:$A$155,A132,$F$6:$F$155,F132))</x:f>
      </x:c>
      <x:c r="I132" s="41" t="str">
        <x:f>IF(COUNT(D132,H132)=2,H132-D132,"")</x:f>
      </x:c>
      <x:c r="J132" s="41" t="str">
        <x:f>IF(A132="","","ALLOCATION - NOT OBSERVATION")</x:f>
      </x:c>
      <x:c r="K132" s="36"/>
      <x:c r="L132" s="41" t="str">
        <x:f>IF(A132="","",IF(AND(ISNUMBER(E132),K132&lt;&gt;"",ABS(G132-1)&lt;=Profile!$B$18,ABS(I132)&lt;=Profile!$B$18),"ARITHMETIC MATCH","HOLD: WEIGHTS / INPUT"))</x:f>
      </x:c>
    </x:row>
    <x:row r="133" ht="23" customHeight="1">
      <x:c r="A133" s="38"/>
      <x:c r="B133" s="36"/>
      <x:c r="C133" s="36"/>
      <x:c r="D133" s="41" t="str">
        <x:f>IF(A133="","",IF(F133="EA",IF(COUNTIF(ExAnte!$A$6:$A$55,A133)=1,IF(ISNUMBER(INDEX(ExAnte!$I$6:$I$55,MATCH(A133,ExAnte!$A$6:$A$55,0))),INDEX(ExAnte!$I$6:$I$55,MATCH(A133,ExAnte!$A$6:$A$55,0)),""),""),IF(F133="EP",IF(COUNTIF(ExPost!$A$6:$A$55,A133)=1,IF(ISNUMBER(INDEX(ExPost!$I$6:$I$55,MATCH(A133,ExPost!$A$6:$A$55,0))),INDEX(ExPost!$I$6:$I$55,MATCH(A133,ExPost!$A$6:$A$55,0)),""),""),"")))</x:f>
      </x:c>
      <x:c r="E133" s="41" t="str">
        <x:f>IF(COUNT(C133:D133)=2,IF(C133&gt;=0,C133*D133,""),"")</x:f>
      </x:c>
      <x:c r="F133" s="36"/>
      <x:c r="G133" s="41" t="str">
        <x:f>IF(A133="","",SUMIFS($C$6:$C$155,$A$6:$A$155,A133,$F$6:$F$155,F133))</x:f>
      </x:c>
      <x:c r="H133" s="41" t="str">
        <x:f>IF(A133="","",SUMIFS($E$6:$E$155,$A$6:$A$155,A133,$F$6:$F$155,F133))</x:f>
      </x:c>
      <x:c r="I133" s="41" t="str">
        <x:f>IF(COUNT(D133,H133)=2,H133-D133,"")</x:f>
      </x:c>
      <x:c r="J133" s="41" t="str">
        <x:f>IF(A133="","","ALLOCATION - NOT OBSERVATION")</x:f>
      </x:c>
      <x:c r="K133" s="36"/>
      <x:c r="L133" s="41" t="str">
        <x:f>IF(A133="","",IF(AND(ISNUMBER(E133),K133&lt;&gt;"",ABS(G133-1)&lt;=Profile!$B$18,ABS(I133)&lt;=Profile!$B$18),"ARITHMETIC MATCH","HOLD: WEIGHTS / INPUT"))</x:f>
      </x:c>
    </x:row>
    <x:row r="134" ht="23" customHeight="1">
      <x:c r="A134" s="38"/>
      <x:c r="B134" s="36"/>
      <x:c r="C134" s="36"/>
      <x:c r="D134" s="41" t="str">
        <x:f>IF(A134="","",IF(F134="EA",IF(COUNTIF(ExAnte!$A$6:$A$55,A134)=1,IF(ISNUMBER(INDEX(ExAnte!$I$6:$I$55,MATCH(A134,ExAnte!$A$6:$A$55,0))),INDEX(ExAnte!$I$6:$I$55,MATCH(A134,ExAnte!$A$6:$A$55,0)),""),""),IF(F134="EP",IF(COUNTIF(ExPost!$A$6:$A$55,A134)=1,IF(ISNUMBER(INDEX(ExPost!$I$6:$I$55,MATCH(A134,ExPost!$A$6:$A$55,0))),INDEX(ExPost!$I$6:$I$55,MATCH(A134,ExPost!$A$6:$A$55,0)),""),""),"")))</x:f>
      </x:c>
      <x:c r="E134" s="41" t="str">
        <x:f>IF(COUNT(C134:D134)=2,IF(C134&gt;=0,C134*D134,""),"")</x:f>
      </x:c>
      <x:c r="F134" s="36"/>
      <x:c r="G134" s="41" t="str">
        <x:f>IF(A134="","",SUMIFS($C$6:$C$155,$A$6:$A$155,A134,$F$6:$F$155,F134))</x:f>
      </x:c>
      <x:c r="H134" s="41" t="str">
        <x:f>IF(A134="","",SUMIFS($E$6:$E$155,$A$6:$A$155,A134,$F$6:$F$155,F134))</x:f>
      </x:c>
      <x:c r="I134" s="41" t="str">
        <x:f>IF(COUNT(D134,H134)=2,H134-D134,"")</x:f>
      </x:c>
      <x:c r="J134" s="41" t="str">
        <x:f>IF(A134="","","ALLOCATION - NOT OBSERVATION")</x:f>
      </x:c>
      <x:c r="K134" s="36"/>
      <x:c r="L134" s="41" t="str">
        <x:f>IF(A134="","",IF(AND(ISNUMBER(E134),K134&lt;&gt;"",ABS(G134-1)&lt;=Profile!$B$18,ABS(I134)&lt;=Profile!$B$18),"ARITHMETIC MATCH","HOLD: WEIGHTS / INPUT"))</x:f>
      </x:c>
    </x:row>
    <x:row r="135" ht="23" customHeight="1">
      <x:c r="A135" s="38"/>
      <x:c r="B135" s="36"/>
      <x:c r="C135" s="36"/>
      <x:c r="D135" s="41" t="str">
        <x:f>IF(A135="","",IF(F135="EA",IF(COUNTIF(ExAnte!$A$6:$A$55,A135)=1,IF(ISNUMBER(INDEX(ExAnte!$I$6:$I$55,MATCH(A135,ExAnte!$A$6:$A$55,0))),INDEX(ExAnte!$I$6:$I$55,MATCH(A135,ExAnte!$A$6:$A$55,0)),""),""),IF(F135="EP",IF(COUNTIF(ExPost!$A$6:$A$55,A135)=1,IF(ISNUMBER(INDEX(ExPost!$I$6:$I$55,MATCH(A135,ExPost!$A$6:$A$55,0))),INDEX(ExPost!$I$6:$I$55,MATCH(A135,ExPost!$A$6:$A$55,0)),""),""),"")))</x:f>
      </x:c>
      <x:c r="E135" s="41" t="str">
        <x:f>IF(COUNT(C135:D135)=2,IF(C135&gt;=0,C135*D135,""),"")</x:f>
      </x:c>
      <x:c r="F135" s="36"/>
      <x:c r="G135" s="41" t="str">
        <x:f>IF(A135="","",SUMIFS($C$6:$C$155,$A$6:$A$155,A135,$F$6:$F$155,F135))</x:f>
      </x:c>
      <x:c r="H135" s="41" t="str">
        <x:f>IF(A135="","",SUMIFS($E$6:$E$155,$A$6:$A$155,A135,$F$6:$F$155,F135))</x:f>
      </x:c>
      <x:c r="I135" s="41" t="str">
        <x:f>IF(COUNT(D135,H135)=2,H135-D135,"")</x:f>
      </x:c>
      <x:c r="J135" s="41" t="str">
        <x:f>IF(A135="","","ALLOCATION - NOT OBSERVATION")</x:f>
      </x:c>
      <x:c r="K135" s="36"/>
      <x:c r="L135" s="41" t="str">
        <x:f>IF(A135="","",IF(AND(ISNUMBER(E135),K135&lt;&gt;"",ABS(G135-1)&lt;=Profile!$B$18,ABS(I135)&lt;=Profile!$B$18),"ARITHMETIC MATCH","HOLD: WEIGHTS / INPUT"))</x:f>
      </x:c>
    </x:row>
    <x:row r="136" ht="23" customHeight="1">
      <x:c r="A136" s="38"/>
      <x:c r="B136" s="36"/>
      <x:c r="C136" s="36"/>
      <x:c r="D136" s="41" t="str">
        <x:f>IF(A136="","",IF(F136="EA",IF(COUNTIF(ExAnte!$A$6:$A$55,A136)=1,IF(ISNUMBER(INDEX(ExAnte!$I$6:$I$55,MATCH(A136,ExAnte!$A$6:$A$55,0))),INDEX(ExAnte!$I$6:$I$55,MATCH(A136,ExAnte!$A$6:$A$55,0)),""),""),IF(F136="EP",IF(COUNTIF(ExPost!$A$6:$A$55,A136)=1,IF(ISNUMBER(INDEX(ExPost!$I$6:$I$55,MATCH(A136,ExPost!$A$6:$A$55,0))),INDEX(ExPost!$I$6:$I$55,MATCH(A136,ExPost!$A$6:$A$55,0)),""),""),"")))</x:f>
      </x:c>
      <x:c r="E136" s="41" t="str">
        <x:f>IF(COUNT(C136:D136)=2,IF(C136&gt;=0,C136*D136,""),"")</x:f>
      </x:c>
      <x:c r="F136" s="36"/>
      <x:c r="G136" s="41" t="str">
        <x:f>IF(A136="","",SUMIFS($C$6:$C$155,$A$6:$A$155,A136,$F$6:$F$155,F136))</x:f>
      </x:c>
      <x:c r="H136" s="41" t="str">
        <x:f>IF(A136="","",SUMIFS($E$6:$E$155,$A$6:$A$155,A136,$F$6:$F$155,F136))</x:f>
      </x:c>
      <x:c r="I136" s="41" t="str">
        <x:f>IF(COUNT(D136,H136)=2,H136-D136,"")</x:f>
      </x:c>
      <x:c r="J136" s="41" t="str">
        <x:f>IF(A136="","","ALLOCATION - NOT OBSERVATION")</x:f>
      </x:c>
      <x:c r="K136" s="36"/>
      <x:c r="L136" s="41" t="str">
        <x:f>IF(A136="","",IF(AND(ISNUMBER(E136),K136&lt;&gt;"",ABS(G136-1)&lt;=Profile!$B$18,ABS(I136)&lt;=Profile!$B$18),"ARITHMETIC MATCH","HOLD: WEIGHTS / INPUT"))</x:f>
      </x:c>
    </x:row>
    <x:row r="137" ht="23" customHeight="1">
      <x:c r="A137" s="38"/>
      <x:c r="B137" s="36"/>
      <x:c r="C137" s="36"/>
      <x:c r="D137" s="41" t="str">
        <x:f>IF(A137="","",IF(F137="EA",IF(COUNTIF(ExAnte!$A$6:$A$55,A137)=1,IF(ISNUMBER(INDEX(ExAnte!$I$6:$I$55,MATCH(A137,ExAnte!$A$6:$A$55,0))),INDEX(ExAnte!$I$6:$I$55,MATCH(A137,ExAnte!$A$6:$A$55,0)),""),""),IF(F137="EP",IF(COUNTIF(ExPost!$A$6:$A$55,A137)=1,IF(ISNUMBER(INDEX(ExPost!$I$6:$I$55,MATCH(A137,ExPost!$A$6:$A$55,0))),INDEX(ExPost!$I$6:$I$55,MATCH(A137,ExPost!$A$6:$A$55,0)),""),""),"")))</x:f>
      </x:c>
      <x:c r="E137" s="41" t="str">
        <x:f>IF(COUNT(C137:D137)=2,IF(C137&gt;=0,C137*D137,""),"")</x:f>
      </x:c>
      <x:c r="F137" s="36"/>
      <x:c r="G137" s="41" t="str">
        <x:f>IF(A137="","",SUMIFS($C$6:$C$155,$A$6:$A$155,A137,$F$6:$F$155,F137))</x:f>
      </x:c>
      <x:c r="H137" s="41" t="str">
        <x:f>IF(A137="","",SUMIFS($E$6:$E$155,$A$6:$A$155,A137,$F$6:$F$155,F137))</x:f>
      </x:c>
      <x:c r="I137" s="41" t="str">
        <x:f>IF(COUNT(D137,H137)=2,H137-D137,"")</x:f>
      </x:c>
      <x:c r="J137" s="41" t="str">
        <x:f>IF(A137="","","ALLOCATION - NOT OBSERVATION")</x:f>
      </x:c>
      <x:c r="K137" s="36"/>
      <x:c r="L137" s="41" t="str">
        <x:f>IF(A137="","",IF(AND(ISNUMBER(E137),K137&lt;&gt;"",ABS(G137-1)&lt;=Profile!$B$18,ABS(I137)&lt;=Profile!$B$18),"ARITHMETIC MATCH","HOLD: WEIGHTS / INPUT"))</x:f>
      </x:c>
    </x:row>
    <x:row r="138" ht="23" customHeight="1">
      <x:c r="A138" s="38"/>
      <x:c r="B138" s="36"/>
      <x:c r="C138" s="36"/>
      <x:c r="D138" s="41" t="str">
        <x:f>IF(A138="","",IF(F138="EA",IF(COUNTIF(ExAnte!$A$6:$A$55,A138)=1,IF(ISNUMBER(INDEX(ExAnte!$I$6:$I$55,MATCH(A138,ExAnte!$A$6:$A$55,0))),INDEX(ExAnte!$I$6:$I$55,MATCH(A138,ExAnte!$A$6:$A$55,0)),""),""),IF(F138="EP",IF(COUNTIF(ExPost!$A$6:$A$55,A138)=1,IF(ISNUMBER(INDEX(ExPost!$I$6:$I$55,MATCH(A138,ExPost!$A$6:$A$55,0))),INDEX(ExPost!$I$6:$I$55,MATCH(A138,ExPost!$A$6:$A$55,0)),""),""),"")))</x:f>
      </x:c>
      <x:c r="E138" s="41" t="str">
        <x:f>IF(COUNT(C138:D138)=2,IF(C138&gt;=0,C138*D138,""),"")</x:f>
      </x:c>
      <x:c r="F138" s="36"/>
      <x:c r="G138" s="41" t="str">
        <x:f>IF(A138="","",SUMIFS($C$6:$C$155,$A$6:$A$155,A138,$F$6:$F$155,F138))</x:f>
      </x:c>
      <x:c r="H138" s="41" t="str">
        <x:f>IF(A138="","",SUMIFS($E$6:$E$155,$A$6:$A$155,A138,$F$6:$F$155,F138))</x:f>
      </x:c>
      <x:c r="I138" s="41" t="str">
        <x:f>IF(COUNT(D138,H138)=2,H138-D138,"")</x:f>
      </x:c>
      <x:c r="J138" s="41" t="str">
        <x:f>IF(A138="","","ALLOCATION - NOT OBSERVATION")</x:f>
      </x:c>
      <x:c r="K138" s="36"/>
      <x:c r="L138" s="41" t="str">
        <x:f>IF(A138="","",IF(AND(ISNUMBER(E138),K138&lt;&gt;"",ABS(G138-1)&lt;=Profile!$B$18,ABS(I138)&lt;=Profile!$B$18),"ARITHMETIC MATCH","HOLD: WEIGHTS / INPUT"))</x:f>
      </x:c>
    </x:row>
    <x:row r="139" ht="23" customHeight="1">
      <x:c r="A139" s="38"/>
      <x:c r="B139" s="36"/>
      <x:c r="C139" s="36"/>
      <x:c r="D139" s="41" t="str">
        <x:f>IF(A139="","",IF(F139="EA",IF(COUNTIF(ExAnte!$A$6:$A$55,A139)=1,IF(ISNUMBER(INDEX(ExAnte!$I$6:$I$55,MATCH(A139,ExAnte!$A$6:$A$55,0))),INDEX(ExAnte!$I$6:$I$55,MATCH(A139,ExAnte!$A$6:$A$55,0)),""),""),IF(F139="EP",IF(COUNTIF(ExPost!$A$6:$A$55,A139)=1,IF(ISNUMBER(INDEX(ExPost!$I$6:$I$55,MATCH(A139,ExPost!$A$6:$A$55,0))),INDEX(ExPost!$I$6:$I$55,MATCH(A139,ExPost!$A$6:$A$55,0)),""),""),"")))</x:f>
      </x:c>
      <x:c r="E139" s="41" t="str">
        <x:f>IF(COUNT(C139:D139)=2,IF(C139&gt;=0,C139*D139,""),"")</x:f>
      </x:c>
      <x:c r="F139" s="36"/>
      <x:c r="G139" s="41" t="str">
        <x:f>IF(A139="","",SUMIFS($C$6:$C$155,$A$6:$A$155,A139,$F$6:$F$155,F139))</x:f>
      </x:c>
      <x:c r="H139" s="41" t="str">
        <x:f>IF(A139="","",SUMIFS($E$6:$E$155,$A$6:$A$155,A139,$F$6:$F$155,F139))</x:f>
      </x:c>
      <x:c r="I139" s="41" t="str">
        <x:f>IF(COUNT(D139,H139)=2,H139-D139,"")</x:f>
      </x:c>
      <x:c r="J139" s="41" t="str">
        <x:f>IF(A139="","","ALLOCATION - NOT OBSERVATION")</x:f>
      </x:c>
      <x:c r="K139" s="36"/>
      <x:c r="L139" s="41" t="str">
        <x:f>IF(A139="","",IF(AND(ISNUMBER(E139),K139&lt;&gt;"",ABS(G139-1)&lt;=Profile!$B$18,ABS(I139)&lt;=Profile!$B$18),"ARITHMETIC MATCH","HOLD: WEIGHTS / INPUT"))</x:f>
      </x:c>
    </x:row>
    <x:row r="140" ht="23" customHeight="1">
      <x:c r="A140" s="38"/>
      <x:c r="B140" s="36"/>
      <x:c r="C140" s="36"/>
      <x:c r="D140" s="41" t="str">
        <x:f>IF(A140="","",IF(F140="EA",IF(COUNTIF(ExAnte!$A$6:$A$55,A140)=1,IF(ISNUMBER(INDEX(ExAnte!$I$6:$I$55,MATCH(A140,ExAnte!$A$6:$A$55,0))),INDEX(ExAnte!$I$6:$I$55,MATCH(A140,ExAnte!$A$6:$A$55,0)),""),""),IF(F140="EP",IF(COUNTIF(ExPost!$A$6:$A$55,A140)=1,IF(ISNUMBER(INDEX(ExPost!$I$6:$I$55,MATCH(A140,ExPost!$A$6:$A$55,0))),INDEX(ExPost!$I$6:$I$55,MATCH(A140,ExPost!$A$6:$A$55,0)),""),""),"")))</x:f>
      </x:c>
      <x:c r="E140" s="41" t="str">
        <x:f>IF(COUNT(C140:D140)=2,IF(C140&gt;=0,C140*D140,""),"")</x:f>
      </x:c>
      <x:c r="F140" s="36"/>
      <x:c r="G140" s="41" t="str">
        <x:f>IF(A140="","",SUMIFS($C$6:$C$155,$A$6:$A$155,A140,$F$6:$F$155,F140))</x:f>
      </x:c>
      <x:c r="H140" s="41" t="str">
        <x:f>IF(A140="","",SUMIFS($E$6:$E$155,$A$6:$A$155,A140,$F$6:$F$155,F140))</x:f>
      </x:c>
      <x:c r="I140" s="41" t="str">
        <x:f>IF(COUNT(D140,H140)=2,H140-D140,"")</x:f>
      </x:c>
      <x:c r="J140" s="41" t="str">
        <x:f>IF(A140="","","ALLOCATION - NOT OBSERVATION")</x:f>
      </x:c>
      <x:c r="K140" s="36"/>
      <x:c r="L140" s="41" t="str">
        <x:f>IF(A140="","",IF(AND(ISNUMBER(E140),K140&lt;&gt;"",ABS(G140-1)&lt;=Profile!$B$18,ABS(I140)&lt;=Profile!$B$18),"ARITHMETIC MATCH","HOLD: WEIGHTS / INPUT"))</x:f>
      </x:c>
    </x:row>
    <x:row r="141" ht="23" customHeight="1">
      <x:c r="A141" s="38"/>
      <x:c r="B141" s="36"/>
      <x:c r="C141" s="36"/>
      <x:c r="D141" s="41" t="str">
        <x:f>IF(A141="","",IF(F141="EA",IF(COUNTIF(ExAnte!$A$6:$A$55,A141)=1,IF(ISNUMBER(INDEX(ExAnte!$I$6:$I$55,MATCH(A141,ExAnte!$A$6:$A$55,0))),INDEX(ExAnte!$I$6:$I$55,MATCH(A141,ExAnte!$A$6:$A$55,0)),""),""),IF(F141="EP",IF(COUNTIF(ExPost!$A$6:$A$55,A141)=1,IF(ISNUMBER(INDEX(ExPost!$I$6:$I$55,MATCH(A141,ExPost!$A$6:$A$55,0))),INDEX(ExPost!$I$6:$I$55,MATCH(A141,ExPost!$A$6:$A$55,0)),""),""),"")))</x:f>
      </x:c>
      <x:c r="E141" s="41" t="str">
        <x:f>IF(COUNT(C141:D141)=2,IF(C141&gt;=0,C141*D141,""),"")</x:f>
      </x:c>
      <x:c r="F141" s="36"/>
      <x:c r="G141" s="41" t="str">
        <x:f>IF(A141="","",SUMIFS($C$6:$C$155,$A$6:$A$155,A141,$F$6:$F$155,F141))</x:f>
      </x:c>
      <x:c r="H141" s="41" t="str">
        <x:f>IF(A141="","",SUMIFS($E$6:$E$155,$A$6:$A$155,A141,$F$6:$F$155,F141))</x:f>
      </x:c>
      <x:c r="I141" s="41" t="str">
        <x:f>IF(COUNT(D141,H141)=2,H141-D141,"")</x:f>
      </x:c>
      <x:c r="J141" s="41" t="str">
        <x:f>IF(A141="","","ALLOCATION - NOT OBSERVATION")</x:f>
      </x:c>
      <x:c r="K141" s="36"/>
      <x:c r="L141" s="41" t="str">
        <x:f>IF(A141="","",IF(AND(ISNUMBER(E141),K141&lt;&gt;"",ABS(G141-1)&lt;=Profile!$B$18,ABS(I141)&lt;=Profile!$B$18),"ARITHMETIC MATCH","HOLD: WEIGHTS / INPUT"))</x:f>
      </x:c>
    </x:row>
    <x:row r="142" ht="23" customHeight="1">
      <x:c r="A142" s="38"/>
      <x:c r="B142" s="36"/>
      <x:c r="C142" s="36"/>
      <x:c r="D142" s="41" t="str">
        <x:f>IF(A142="","",IF(F142="EA",IF(COUNTIF(ExAnte!$A$6:$A$55,A142)=1,IF(ISNUMBER(INDEX(ExAnte!$I$6:$I$55,MATCH(A142,ExAnte!$A$6:$A$55,0))),INDEX(ExAnte!$I$6:$I$55,MATCH(A142,ExAnte!$A$6:$A$55,0)),""),""),IF(F142="EP",IF(COUNTIF(ExPost!$A$6:$A$55,A142)=1,IF(ISNUMBER(INDEX(ExPost!$I$6:$I$55,MATCH(A142,ExPost!$A$6:$A$55,0))),INDEX(ExPost!$I$6:$I$55,MATCH(A142,ExPost!$A$6:$A$55,0)),""),""),"")))</x:f>
      </x:c>
      <x:c r="E142" s="41" t="str">
        <x:f>IF(COUNT(C142:D142)=2,IF(C142&gt;=0,C142*D142,""),"")</x:f>
      </x:c>
      <x:c r="F142" s="36"/>
      <x:c r="G142" s="41" t="str">
        <x:f>IF(A142="","",SUMIFS($C$6:$C$155,$A$6:$A$155,A142,$F$6:$F$155,F142))</x:f>
      </x:c>
      <x:c r="H142" s="41" t="str">
        <x:f>IF(A142="","",SUMIFS($E$6:$E$155,$A$6:$A$155,A142,$F$6:$F$155,F142))</x:f>
      </x:c>
      <x:c r="I142" s="41" t="str">
        <x:f>IF(COUNT(D142,H142)=2,H142-D142,"")</x:f>
      </x:c>
      <x:c r="J142" s="41" t="str">
        <x:f>IF(A142="","","ALLOCATION - NOT OBSERVATION")</x:f>
      </x:c>
      <x:c r="K142" s="36"/>
      <x:c r="L142" s="41" t="str">
        <x:f>IF(A142="","",IF(AND(ISNUMBER(E142),K142&lt;&gt;"",ABS(G142-1)&lt;=Profile!$B$18,ABS(I142)&lt;=Profile!$B$18),"ARITHMETIC MATCH","HOLD: WEIGHTS / INPUT"))</x:f>
      </x:c>
    </x:row>
    <x:row r="143" ht="23" customHeight="1">
      <x:c r="A143" s="38"/>
      <x:c r="B143" s="36"/>
      <x:c r="C143" s="36"/>
      <x:c r="D143" s="41" t="str">
        <x:f>IF(A143="","",IF(F143="EA",IF(COUNTIF(ExAnte!$A$6:$A$55,A143)=1,IF(ISNUMBER(INDEX(ExAnte!$I$6:$I$55,MATCH(A143,ExAnte!$A$6:$A$55,0))),INDEX(ExAnte!$I$6:$I$55,MATCH(A143,ExAnte!$A$6:$A$55,0)),""),""),IF(F143="EP",IF(COUNTIF(ExPost!$A$6:$A$55,A143)=1,IF(ISNUMBER(INDEX(ExPost!$I$6:$I$55,MATCH(A143,ExPost!$A$6:$A$55,0))),INDEX(ExPost!$I$6:$I$55,MATCH(A143,ExPost!$A$6:$A$55,0)),""),""),"")))</x:f>
      </x:c>
      <x:c r="E143" s="41" t="str">
        <x:f>IF(COUNT(C143:D143)=2,IF(C143&gt;=0,C143*D143,""),"")</x:f>
      </x:c>
      <x:c r="F143" s="36"/>
      <x:c r="G143" s="41" t="str">
        <x:f>IF(A143="","",SUMIFS($C$6:$C$155,$A$6:$A$155,A143,$F$6:$F$155,F143))</x:f>
      </x:c>
      <x:c r="H143" s="41" t="str">
        <x:f>IF(A143="","",SUMIFS($E$6:$E$155,$A$6:$A$155,A143,$F$6:$F$155,F143))</x:f>
      </x:c>
      <x:c r="I143" s="41" t="str">
        <x:f>IF(COUNT(D143,H143)=2,H143-D143,"")</x:f>
      </x:c>
      <x:c r="J143" s="41" t="str">
        <x:f>IF(A143="","","ALLOCATION - NOT OBSERVATION")</x:f>
      </x:c>
      <x:c r="K143" s="36"/>
      <x:c r="L143" s="41" t="str">
        <x:f>IF(A143="","",IF(AND(ISNUMBER(E143),K143&lt;&gt;"",ABS(G143-1)&lt;=Profile!$B$18,ABS(I143)&lt;=Profile!$B$18),"ARITHMETIC MATCH","HOLD: WEIGHTS / INPUT"))</x:f>
      </x:c>
    </x:row>
    <x:row r="144" ht="23" customHeight="1">
      <x:c r="A144" s="38"/>
      <x:c r="B144" s="36"/>
      <x:c r="C144" s="36"/>
      <x:c r="D144" s="41" t="str">
        <x:f>IF(A144="","",IF(F144="EA",IF(COUNTIF(ExAnte!$A$6:$A$55,A144)=1,IF(ISNUMBER(INDEX(ExAnte!$I$6:$I$55,MATCH(A144,ExAnte!$A$6:$A$55,0))),INDEX(ExAnte!$I$6:$I$55,MATCH(A144,ExAnte!$A$6:$A$55,0)),""),""),IF(F144="EP",IF(COUNTIF(ExPost!$A$6:$A$55,A144)=1,IF(ISNUMBER(INDEX(ExPost!$I$6:$I$55,MATCH(A144,ExPost!$A$6:$A$55,0))),INDEX(ExPost!$I$6:$I$55,MATCH(A144,ExPost!$A$6:$A$55,0)),""),""),"")))</x:f>
      </x:c>
      <x:c r="E144" s="41" t="str">
        <x:f>IF(COUNT(C144:D144)=2,IF(C144&gt;=0,C144*D144,""),"")</x:f>
      </x:c>
      <x:c r="F144" s="36"/>
      <x:c r="G144" s="41" t="str">
        <x:f>IF(A144="","",SUMIFS($C$6:$C$155,$A$6:$A$155,A144,$F$6:$F$155,F144))</x:f>
      </x:c>
      <x:c r="H144" s="41" t="str">
        <x:f>IF(A144="","",SUMIFS($E$6:$E$155,$A$6:$A$155,A144,$F$6:$F$155,F144))</x:f>
      </x:c>
      <x:c r="I144" s="41" t="str">
        <x:f>IF(COUNT(D144,H144)=2,H144-D144,"")</x:f>
      </x:c>
      <x:c r="J144" s="41" t="str">
        <x:f>IF(A144="","","ALLOCATION - NOT OBSERVATION")</x:f>
      </x:c>
      <x:c r="K144" s="36"/>
      <x:c r="L144" s="41" t="str">
        <x:f>IF(A144="","",IF(AND(ISNUMBER(E144),K144&lt;&gt;"",ABS(G144-1)&lt;=Profile!$B$18,ABS(I144)&lt;=Profile!$B$18),"ARITHMETIC MATCH","HOLD: WEIGHTS / INPUT"))</x:f>
      </x:c>
    </x:row>
    <x:row r="145" ht="23" customHeight="1">
      <x:c r="A145" s="38"/>
      <x:c r="B145" s="36"/>
      <x:c r="C145" s="36"/>
      <x:c r="D145" s="41" t="str">
        <x:f>IF(A145="","",IF(F145="EA",IF(COUNTIF(ExAnte!$A$6:$A$55,A145)=1,IF(ISNUMBER(INDEX(ExAnte!$I$6:$I$55,MATCH(A145,ExAnte!$A$6:$A$55,0))),INDEX(ExAnte!$I$6:$I$55,MATCH(A145,ExAnte!$A$6:$A$55,0)),""),""),IF(F145="EP",IF(COUNTIF(ExPost!$A$6:$A$55,A145)=1,IF(ISNUMBER(INDEX(ExPost!$I$6:$I$55,MATCH(A145,ExPost!$A$6:$A$55,0))),INDEX(ExPost!$I$6:$I$55,MATCH(A145,ExPost!$A$6:$A$55,0)),""),""),"")))</x:f>
      </x:c>
      <x:c r="E145" s="41" t="str">
        <x:f>IF(COUNT(C145:D145)=2,IF(C145&gt;=0,C145*D145,""),"")</x:f>
      </x:c>
      <x:c r="F145" s="36"/>
      <x:c r="G145" s="41" t="str">
        <x:f>IF(A145="","",SUMIFS($C$6:$C$155,$A$6:$A$155,A145,$F$6:$F$155,F145))</x:f>
      </x:c>
      <x:c r="H145" s="41" t="str">
        <x:f>IF(A145="","",SUMIFS($E$6:$E$155,$A$6:$A$155,A145,$F$6:$F$155,F145))</x:f>
      </x:c>
      <x:c r="I145" s="41" t="str">
        <x:f>IF(COUNT(D145,H145)=2,H145-D145,"")</x:f>
      </x:c>
      <x:c r="J145" s="41" t="str">
        <x:f>IF(A145="","","ALLOCATION - NOT OBSERVATION")</x:f>
      </x:c>
      <x:c r="K145" s="36"/>
      <x:c r="L145" s="41" t="str">
        <x:f>IF(A145="","",IF(AND(ISNUMBER(E145),K145&lt;&gt;"",ABS(G145-1)&lt;=Profile!$B$18,ABS(I145)&lt;=Profile!$B$18),"ARITHMETIC MATCH","HOLD: WEIGHTS / INPUT"))</x:f>
      </x:c>
    </x:row>
    <x:row r="146" ht="23" customHeight="1">
      <x:c r="A146" s="38"/>
      <x:c r="B146" s="36"/>
      <x:c r="C146" s="36"/>
      <x:c r="D146" s="41" t="str">
        <x:f>IF(A146="","",IF(F146="EA",IF(COUNTIF(ExAnte!$A$6:$A$55,A146)=1,IF(ISNUMBER(INDEX(ExAnte!$I$6:$I$55,MATCH(A146,ExAnte!$A$6:$A$55,0))),INDEX(ExAnte!$I$6:$I$55,MATCH(A146,ExAnte!$A$6:$A$55,0)),""),""),IF(F146="EP",IF(COUNTIF(ExPost!$A$6:$A$55,A146)=1,IF(ISNUMBER(INDEX(ExPost!$I$6:$I$55,MATCH(A146,ExPost!$A$6:$A$55,0))),INDEX(ExPost!$I$6:$I$55,MATCH(A146,ExPost!$A$6:$A$55,0)),""),""),"")))</x:f>
      </x:c>
      <x:c r="E146" s="41" t="str">
        <x:f>IF(COUNT(C146:D146)=2,IF(C146&gt;=0,C146*D146,""),"")</x:f>
      </x:c>
      <x:c r="F146" s="36"/>
      <x:c r="G146" s="41" t="str">
        <x:f>IF(A146="","",SUMIFS($C$6:$C$155,$A$6:$A$155,A146,$F$6:$F$155,F146))</x:f>
      </x:c>
      <x:c r="H146" s="41" t="str">
        <x:f>IF(A146="","",SUMIFS($E$6:$E$155,$A$6:$A$155,A146,$F$6:$F$155,F146))</x:f>
      </x:c>
      <x:c r="I146" s="41" t="str">
        <x:f>IF(COUNT(D146,H146)=2,H146-D146,"")</x:f>
      </x:c>
      <x:c r="J146" s="41" t="str">
        <x:f>IF(A146="","","ALLOCATION - NOT OBSERVATION")</x:f>
      </x:c>
      <x:c r="K146" s="36"/>
      <x:c r="L146" s="41" t="str">
        <x:f>IF(A146="","",IF(AND(ISNUMBER(E146),K146&lt;&gt;"",ABS(G146-1)&lt;=Profile!$B$18,ABS(I146)&lt;=Profile!$B$18),"ARITHMETIC MATCH","HOLD: WEIGHTS / INPUT"))</x:f>
      </x:c>
    </x:row>
    <x:row r="147" ht="23" customHeight="1">
      <x:c r="A147" s="38"/>
      <x:c r="B147" s="36"/>
      <x:c r="C147" s="36"/>
      <x:c r="D147" s="41" t="str">
        <x:f>IF(A147="","",IF(F147="EA",IF(COUNTIF(ExAnte!$A$6:$A$55,A147)=1,IF(ISNUMBER(INDEX(ExAnte!$I$6:$I$55,MATCH(A147,ExAnte!$A$6:$A$55,0))),INDEX(ExAnte!$I$6:$I$55,MATCH(A147,ExAnte!$A$6:$A$55,0)),""),""),IF(F147="EP",IF(COUNTIF(ExPost!$A$6:$A$55,A147)=1,IF(ISNUMBER(INDEX(ExPost!$I$6:$I$55,MATCH(A147,ExPost!$A$6:$A$55,0))),INDEX(ExPost!$I$6:$I$55,MATCH(A147,ExPost!$A$6:$A$55,0)),""),""),"")))</x:f>
      </x:c>
      <x:c r="E147" s="41" t="str">
        <x:f>IF(COUNT(C147:D147)=2,IF(C147&gt;=0,C147*D147,""),"")</x:f>
      </x:c>
      <x:c r="F147" s="36"/>
      <x:c r="G147" s="41" t="str">
        <x:f>IF(A147="","",SUMIFS($C$6:$C$155,$A$6:$A$155,A147,$F$6:$F$155,F147))</x:f>
      </x:c>
      <x:c r="H147" s="41" t="str">
        <x:f>IF(A147="","",SUMIFS($E$6:$E$155,$A$6:$A$155,A147,$F$6:$F$155,F147))</x:f>
      </x:c>
      <x:c r="I147" s="41" t="str">
        <x:f>IF(COUNT(D147,H147)=2,H147-D147,"")</x:f>
      </x:c>
      <x:c r="J147" s="41" t="str">
        <x:f>IF(A147="","","ALLOCATION - NOT OBSERVATION")</x:f>
      </x:c>
      <x:c r="K147" s="36"/>
      <x:c r="L147" s="41" t="str">
        <x:f>IF(A147="","",IF(AND(ISNUMBER(E147),K147&lt;&gt;"",ABS(G147-1)&lt;=Profile!$B$18,ABS(I147)&lt;=Profile!$B$18),"ARITHMETIC MATCH","HOLD: WEIGHTS / INPUT"))</x:f>
      </x:c>
    </x:row>
    <x:row r="148" ht="23" customHeight="1">
      <x:c r="A148" s="38"/>
      <x:c r="B148" s="36"/>
      <x:c r="C148" s="36"/>
      <x:c r="D148" s="41" t="str">
        <x:f>IF(A148="","",IF(F148="EA",IF(COUNTIF(ExAnte!$A$6:$A$55,A148)=1,IF(ISNUMBER(INDEX(ExAnte!$I$6:$I$55,MATCH(A148,ExAnte!$A$6:$A$55,0))),INDEX(ExAnte!$I$6:$I$55,MATCH(A148,ExAnte!$A$6:$A$55,0)),""),""),IF(F148="EP",IF(COUNTIF(ExPost!$A$6:$A$55,A148)=1,IF(ISNUMBER(INDEX(ExPost!$I$6:$I$55,MATCH(A148,ExPost!$A$6:$A$55,0))),INDEX(ExPost!$I$6:$I$55,MATCH(A148,ExPost!$A$6:$A$55,0)),""),""),"")))</x:f>
      </x:c>
      <x:c r="E148" s="41" t="str">
        <x:f>IF(COUNT(C148:D148)=2,IF(C148&gt;=0,C148*D148,""),"")</x:f>
      </x:c>
      <x:c r="F148" s="36"/>
      <x:c r="G148" s="41" t="str">
        <x:f>IF(A148="","",SUMIFS($C$6:$C$155,$A$6:$A$155,A148,$F$6:$F$155,F148))</x:f>
      </x:c>
      <x:c r="H148" s="41" t="str">
        <x:f>IF(A148="","",SUMIFS($E$6:$E$155,$A$6:$A$155,A148,$F$6:$F$155,F148))</x:f>
      </x:c>
      <x:c r="I148" s="41" t="str">
        <x:f>IF(COUNT(D148,H148)=2,H148-D148,"")</x:f>
      </x:c>
      <x:c r="J148" s="41" t="str">
        <x:f>IF(A148="","","ALLOCATION - NOT OBSERVATION")</x:f>
      </x:c>
      <x:c r="K148" s="36"/>
      <x:c r="L148" s="41" t="str">
        <x:f>IF(A148="","",IF(AND(ISNUMBER(E148),K148&lt;&gt;"",ABS(G148-1)&lt;=Profile!$B$18,ABS(I148)&lt;=Profile!$B$18),"ARITHMETIC MATCH","HOLD: WEIGHTS / INPUT"))</x:f>
      </x:c>
    </x:row>
    <x:row r="149" ht="23" customHeight="1">
      <x:c r="A149" s="38"/>
      <x:c r="B149" s="36"/>
      <x:c r="C149" s="36"/>
      <x:c r="D149" s="41" t="str">
        <x:f>IF(A149="","",IF(F149="EA",IF(COUNTIF(ExAnte!$A$6:$A$55,A149)=1,IF(ISNUMBER(INDEX(ExAnte!$I$6:$I$55,MATCH(A149,ExAnte!$A$6:$A$55,0))),INDEX(ExAnte!$I$6:$I$55,MATCH(A149,ExAnte!$A$6:$A$55,0)),""),""),IF(F149="EP",IF(COUNTIF(ExPost!$A$6:$A$55,A149)=1,IF(ISNUMBER(INDEX(ExPost!$I$6:$I$55,MATCH(A149,ExPost!$A$6:$A$55,0))),INDEX(ExPost!$I$6:$I$55,MATCH(A149,ExPost!$A$6:$A$55,0)),""),""),"")))</x:f>
      </x:c>
      <x:c r="E149" s="41" t="str">
        <x:f>IF(COUNT(C149:D149)=2,IF(C149&gt;=0,C149*D149,""),"")</x:f>
      </x:c>
      <x:c r="F149" s="36"/>
      <x:c r="G149" s="41" t="str">
        <x:f>IF(A149="","",SUMIFS($C$6:$C$155,$A$6:$A$155,A149,$F$6:$F$155,F149))</x:f>
      </x:c>
      <x:c r="H149" s="41" t="str">
        <x:f>IF(A149="","",SUMIFS($E$6:$E$155,$A$6:$A$155,A149,$F$6:$F$155,F149))</x:f>
      </x:c>
      <x:c r="I149" s="41" t="str">
        <x:f>IF(COUNT(D149,H149)=2,H149-D149,"")</x:f>
      </x:c>
      <x:c r="J149" s="41" t="str">
        <x:f>IF(A149="","","ALLOCATION - NOT OBSERVATION")</x:f>
      </x:c>
      <x:c r="K149" s="36"/>
      <x:c r="L149" s="41" t="str">
        <x:f>IF(A149="","",IF(AND(ISNUMBER(E149),K149&lt;&gt;"",ABS(G149-1)&lt;=Profile!$B$18,ABS(I149)&lt;=Profile!$B$18),"ARITHMETIC MATCH","HOLD: WEIGHTS / INPUT"))</x:f>
      </x:c>
    </x:row>
    <x:row r="150" ht="23" customHeight="1">
      <x:c r="A150" s="38"/>
      <x:c r="B150" s="36"/>
      <x:c r="C150" s="36"/>
      <x:c r="D150" s="41" t="str">
        <x:f>IF(A150="","",IF(F150="EA",IF(COUNTIF(ExAnte!$A$6:$A$55,A150)=1,IF(ISNUMBER(INDEX(ExAnte!$I$6:$I$55,MATCH(A150,ExAnte!$A$6:$A$55,0))),INDEX(ExAnte!$I$6:$I$55,MATCH(A150,ExAnte!$A$6:$A$55,0)),""),""),IF(F150="EP",IF(COUNTIF(ExPost!$A$6:$A$55,A150)=1,IF(ISNUMBER(INDEX(ExPost!$I$6:$I$55,MATCH(A150,ExPost!$A$6:$A$55,0))),INDEX(ExPost!$I$6:$I$55,MATCH(A150,ExPost!$A$6:$A$55,0)),""),""),"")))</x:f>
      </x:c>
      <x:c r="E150" s="41" t="str">
        <x:f>IF(COUNT(C150:D150)=2,IF(C150&gt;=0,C150*D150,""),"")</x:f>
      </x:c>
      <x:c r="F150" s="36"/>
      <x:c r="G150" s="41" t="str">
        <x:f>IF(A150="","",SUMIFS($C$6:$C$155,$A$6:$A$155,A150,$F$6:$F$155,F150))</x:f>
      </x:c>
      <x:c r="H150" s="41" t="str">
        <x:f>IF(A150="","",SUMIFS($E$6:$E$155,$A$6:$A$155,A150,$F$6:$F$155,F150))</x:f>
      </x:c>
      <x:c r="I150" s="41" t="str">
        <x:f>IF(COUNT(D150,H150)=2,H150-D150,"")</x:f>
      </x:c>
      <x:c r="J150" s="41" t="str">
        <x:f>IF(A150="","","ALLOCATION - NOT OBSERVATION")</x:f>
      </x:c>
      <x:c r="K150" s="36"/>
      <x:c r="L150" s="41" t="str">
        <x:f>IF(A150="","",IF(AND(ISNUMBER(E150),K150&lt;&gt;"",ABS(G150-1)&lt;=Profile!$B$18,ABS(I150)&lt;=Profile!$B$18),"ARITHMETIC MATCH","HOLD: WEIGHTS / INPUT"))</x:f>
      </x:c>
    </x:row>
    <x:row r="151" ht="23" customHeight="1">
      <x:c r="A151" s="38"/>
      <x:c r="B151" s="36"/>
      <x:c r="C151" s="36"/>
      <x:c r="D151" s="41" t="str">
        <x:f>IF(A151="","",IF(F151="EA",IF(COUNTIF(ExAnte!$A$6:$A$55,A151)=1,IF(ISNUMBER(INDEX(ExAnte!$I$6:$I$55,MATCH(A151,ExAnte!$A$6:$A$55,0))),INDEX(ExAnte!$I$6:$I$55,MATCH(A151,ExAnte!$A$6:$A$55,0)),""),""),IF(F151="EP",IF(COUNTIF(ExPost!$A$6:$A$55,A151)=1,IF(ISNUMBER(INDEX(ExPost!$I$6:$I$55,MATCH(A151,ExPost!$A$6:$A$55,0))),INDEX(ExPost!$I$6:$I$55,MATCH(A151,ExPost!$A$6:$A$55,0)),""),""),"")))</x:f>
      </x:c>
      <x:c r="E151" s="41" t="str">
        <x:f>IF(COUNT(C151:D151)=2,IF(C151&gt;=0,C151*D151,""),"")</x:f>
      </x:c>
      <x:c r="F151" s="36"/>
      <x:c r="G151" s="41" t="str">
        <x:f>IF(A151="","",SUMIFS($C$6:$C$155,$A$6:$A$155,A151,$F$6:$F$155,F151))</x:f>
      </x:c>
      <x:c r="H151" s="41" t="str">
        <x:f>IF(A151="","",SUMIFS($E$6:$E$155,$A$6:$A$155,A151,$F$6:$F$155,F151))</x:f>
      </x:c>
      <x:c r="I151" s="41" t="str">
        <x:f>IF(COUNT(D151,H151)=2,H151-D151,"")</x:f>
      </x:c>
      <x:c r="J151" s="41" t="str">
        <x:f>IF(A151="","","ALLOCATION - NOT OBSERVATION")</x:f>
      </x:c>
      <x:c r="K151" s="36"/>
      <x:c r="L151" s="41" t="str">
        <x:f>IF(A151="","",IF(AND(ISNUMBER(E151),K151&lt;&gt;"",ABS(G151-1)&lt;=Profile!$B$18,ABS(I151)&lt;=Profile!$B$18),"ARITHMETIC MATCH","HOLD: WEIGHTS / INPUT"))</x:f>
      </x:c>
    </x:row>
    <x:row r="152" ht="23" customHeight="1">
      <x:c r="A152" s="38"/>
      <x:c r="B152" s="36"/>
      <x:c r="C152" s="36"/>
      <x:c r="D152" s="41" t="str">
        <x:f>IF(A152="","",IF(F152="EA",IF(COUNTIF(ExAnte!$A$6:$A$55,A152)=1,IF(ISNUMBER(INDEX(ExAnte!$I$6:$I$55,MATCH(A152,ExAnte!$A$6:$A$55,0))),INDEX(ExAnte!$I$6:$I$55,MATCH(A152,ExAnte!$A$6:$A$55,0)),""),""),IF(F152="EP",IF(COUNTIF(ExPost!$A$6:$A$55,A152)=1,IF(ISNUMBER(INDEX(ExPost!$I$6:$I$55,MATCH(A152,ExPost!$A$6:$A$55,0))),INDEX(ExPost!$I$6:$I$55,MATCH(A152,ExPost!$A$6:$A$55,0)),""),""),"")))</x:f>
      </x:c>
      <x:c r="E152" s="41" t="str">
        <x:f>IF(COUNT(C152:D152)=2,IF(C152&gt;=0,C152*D152,""),"")</x:f>
      </x:c>
      <x:c r="F152" s="36"/>
      <x:c r="G152" s="41" t="str">
        <x:f>IF(A152="","",SUMIFS($C$6:$C$155,$A$6:$A$155,A152,$F$6:$F$155,F152))</x:f>
      </x:c>
      <x:c r="H152" s="41" t="str">
        <x:f>IF(A152="","",SUMIFS($E$6:$E$155,$A$6:$A$155,A152,$F$6:$F$155,F152))</x:f>
      </x:c>
      <x:c r="I152" s="41" t="str">
        <x:f>IF(COUNT(D152,H152)=2,H152-D152,"")</x:f>
      </x:c>
      <x:c r="J152" s="41" t="str">
        <x:f>IF(A152="","","ALLOCATION - NOT OBSERVATION")</x:f>
      </x:c>
      <x:c r="K152" s="36"/>
      <x:c r="L152" s="41" t="str">
        <x:f>IF(A152="","",IF(AND(ISNUMBER(E152),K152&lt;&gt;"",ABS(G152-1)&lt;=Profile!$B$18,ABS(I152)&lt;=Profile!$B$18),"ARITHMETIC MATCH","HOLD: WEIGHTS / INPUT"))</x:f>
      </x:c>
    </x:row>
    <x:row r="153" ht="23" customHeight="1">
      <x:c r="A153" s="38"/>
      <x:c r="B153" s="36"/>
      <x:c r="C153" s="36"/>
      <x:c r="D153" s="41" t="str">
        <x:f>IF(A153="","",IF(F153="EA",IF(COUNTIF(ExAnte!$A$6:$A$55,A153)=1,IF(ISNUMBER(INDEX(ExAnte!$I$6:$I$55,MATCH(A153,ExAnte!$A$6:$A$55,0))),INDEX(ExAnte!$I$6:$I$55,MATCH(A153,ExAnte!$A$6:$A$55,0)),""),""),IF(F153="EP",IF(COUNTIF(ExPost!$A$6:$A$55,A153)=1,IF(ISNUMBER(INDEX(ExPost!$I$6:$I$55,MATCH(A153,ExPost!$A$6:$A$55,0))),INDEX(ExPost!$I$6:$I$55,MATCH(A153,ExPost!$A$6:$A$55,0)),""),""),"")))</x:f>
      </x:c>
      <x:c r="E153" s="41" t="str">
        <x:f>IF(COUNT(C153:D153)=2,IF(C153&gt;=0,C153*D153,""),"")</x:f>
      </x:c>
      <x:c r="F153" s="36"/>
      <x:c r="G153" s="41" t="str">
        <x:f>IF(A153="","",SUMIFS($C$6:$C$155,$A$6:$A$155,A153,$F$6:$F$155,F153))</x:f>
      </x:c>
      <x:c r="H153" s="41" t="str">
        <x:f>IF(A153="","",SUMIFS($E$6:$E$155,$A$6:$A$155,A153,$F$6:$F$155,F153))</x:f>
      </x:c>
      <x:c r="I153" s="41" t="str">
        <x:f>IF(COUNT(D153,H153)=2,H153-D153,"")</x:f>
      </x:c>
      <x:c r="J153" s="41" t="str">
        <x:f>IF(A153="","","ALLOCATION - NOT OBSERVATION")</x:f>
      </x:c>
      <x:c r="K153" s="36"/>
      <x:c r="L153" s="41" t="str">
        <x:f>IF(A153="","",IF(AND(ISNUMBER(E153),K153&lt;&gt;"",ABS(G153-1)&lt;=Profile!$B$18,ABS(I153)&lt;=Profile!$B$18),"ARITHMETIC MATCH","HOLD: WEIGHTS / INPUT"))</x:f>
      </x:c>
    </x:row>
    <x:row r="154" ht="23" customHeight="1">
      <x:c r="A154" s="38"/>
      <x:c r="B154" s="36"/>
      <x:c r="C154" s="36"/>
      <x:c r="D154" s="41" t="str">
        <x:f>IF(A154="","",IF(F154="EA",IF(COUNTIF(ExAnte!$A$6:$A$55,A154)=1,IF(ISNUMBER(INDEX(ExAnte!$I$6:$I$55,MATCH(A154,ExAnte!$A$6:$A$55,0))),INDEX(ExAnte!$I$6:$I$55,MATCH(A154,ExAnte!$A$6:$A$55,0)),""),""),IF(F154="EP",IF(COUNTIF(ExPost!$A$6:$A$55,A154)=1,IF(ISNUMBER(INDEX(ExPost!$I$6:$I$55,MATCH(A154,ExPost!$A$6:$A$55,0))),INDEX(ExPost!$I$6:$I$55,MATCH(A154,ExPost!$A$6:$A$55,0)),""),""),"")))</x:f>
      </x:c>
      <x:c r="E154" s="41" t="str">
        <x:f>IF(COUNT(C154:D154)=2,IF(C154&gt;=0,C154*D154,""),"")</x:f>
      </x:c>
      <x:c r="F154" s="36"/>
      <x:c r="G154" s="41" t="str">
        <x:f>IF(A154="","",SUMIFS($C$6:$C$155,$A$6:$A$155,A154,$F$6:$F$155,F154))</x:f>
      </x:c>
      <x:c r="H154" s="41" t="str">
        <x:f>IF(A154="","",SUMIFS($E$6:$E$155,$A$6:$A$155,A154,$F$6:$F$155,F154))</x:f>
      </x:c>
      <x:c r="I154" s="41" t="str">
        <x:f>IF(COUNT(D154,H154)=2,H154-D154,"")</x:f>
      </x:c>
      <x:c r="J154" s="41" t="str">
        <x:f>IF(A154="","","ALLOCATION - NOT OBSERVATION")</x:f>
      </x:c>
      <x:c r="K154" s="36"/>
      <x:c r="L154" s="41" t="str">
        <x:f>IF(A154="","",IF(AND(ISNUMBER(E154),K154&lt;&gt;"",ABS(G154-1)&lt;=Profile!$B$18,ABS(I154)&lt;=Profile!$B$18),"ARITHMETIC MATCH","HOLD: WEIGHTS / INPUT"))</x:f>
      </x:c>
    </x:row>
    <x:row r="155" ht="23" customHeight="1">
      <x:c r="A155" s="38"/>
      <x:c r="B155" s="36"/>
      <x:c r="C155" s="36"/>
      <x:c r="D155" s="41" t="str">
        <x:f>IF(A155="","",IF(F155="EA",IF(COUNTIF(ExAnte!$A$6:$A$55,A155)=1,IF(ISNUMBER(INDEX(ExAnte!$I$6:$I$55,MATCH(A155,ExAnte!$A$6:$A$55,0))),INDEX(ExAnte!$I$6:$I$55,MATCH(A155,ExAnte!$A$6:$A$55,0)),""),""),IF(F155="EP",IF(COUNTIF(ExPost!$A$6:$A$55,A155)=1,IF(ISNUMBER(INDEX(ExPost!$I$6:$I$55,MATCH(A155,ExPost!$A$6:$A$55,0))),INDEX(ExPost!$I$6:$I$55,MATCH(A155,ExPost!$A$6:$A$55,0)),""),""),"")))</x:f>
      </x:c>
      <x:c r="E155" s="41" t="str">
        <x:f>IF(COUNT(C155:D155)=2,IF(C155&gt;=0,C155*D155,""),"")</x:f>
      </x:c>
      <x:c r="F155" s="36"/>
      <x:c r="G155" s="41" t="str">
        <x:f>IF(A155="","",SUMIFS($C$6:$C$155,$A$6:$A$155,A155,$F$6:$F$155,F155))</x:f>
      </x:c>
      <x:c r="H155" s="41" t="str">
        <x:f>IF(A155="","",SUMIFS($E$6:$E$155,$A$6:$A$155,A155,$F$6:$F$155,F155))</x:f>
      </x:c>
      <x:c r="I155" s="41" t="str">
        <x:f>IF(COUNT(D155,H155)=2,H155-D155,"")</x:f>
      </x:c>
      <x:c r="J155" s="41" t="str">
        <x:f>IF(A155="","","ALLOCATION - NOT OBSERVATION")</x:f>
      </x:c>
      <x:c r="K155" s="36"/>
      <x:c r="L155" s="41" t="str">
        <x:f>IF(A155="","",IF(AND(ISNUMBER(E155),K155&lt;&gt;"",ABS(G155-1)&lt;=Profile!$B$18,ABS(I155)&lt;=Profile!$B$18),"ARITHMETIC MATCH","HOLD: WEIGHTS / INPUT"))</x:f>
      </x:c>
    </x:row>
  </x:sheetData>
  <x:mergeCells>
    <x:mergeCell ref="A1:L2"/>
    <x:mergeCell ref="A3:L4"/>
  </x:mergeCells>
  <x:conditionalFormatting sqref="L6:L155">
    <x:cfRule type="expression" dxfId="9" priority="1">
      <x:formula>LEFT(L6,4)="HOLD"</x:formula>
    </x:cfRule>
  </x:conditionalFormatting>
  <x:dataValidations count="1">
    <x:dataValidation type="list" sqref="F6:F155">
      <x:formula1>"EA,EP"</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22" hidden="0" customWidth="1"/>
    <x:col min="3" max="3" width="67" hidden="0" customWidth="1"/>
  </x:cols>
  <x:sheetData>
    <x:row r="1" ht="23" customHeight="1">
      <x:c r="A1" s="21" t="str">
        <x:v>Account checks</x:v>
      </x:c>
      <x:c r="B1" s="21"/>
      <x:c r="C1" s="21"/>
    </x:row>
    <x:row r="2" ht="23" customHeight="1">
      <x:c r="A2" s="21"/>
      <x:c r="B2" s="21"/>
      <x:c r="C2" s="21"/>
    </x:row>
    <x:row r="3" ht="23" customHeight="1">
      <x:c r="A3" s="25" t="str">
        <x:v>These are bounded spreadsheet checks, not a complete conformity assessment or an OVV opinion. A zero count in an empty workbook is not a pass.</x:v>
      </x:c>
      <x:c r="B3" s="25"/>
      <x:c r="C3" s="25"/>
    </x:row>
    <x:row r="4" ht="23" customHeight="1">
      <x:c r="A4" s="25"/>
      <x:c r="B4" s="25"/>
      <x:c r="C4" s="25"/>
    </x:row>
    <x:row r="5" ht="80" customHeight="1">
      <x:c r="A5" s="29" t="str">
        <x:v>Test</x:v>
      </x:c>
      <x:c r="B5" s="29" t="str">
        <x:v>Result
n_held OR state
[count or text]</x:v>
      </x:c>
      <x:c r="C5" s="29" t="str">
        <x:v>Meaning / required response</x:v>
      </x:c>
      <x:c r="D5"/>
      <x:c r="E5"/>
      <x:c r="F5"/>
      <x:c r="G5"/>
      <x:c r="H5"/>
      <x:c r="I5"/>
      <x:c r="J5"/>
      <x:c r="K5"/>
      <x:c r="L5"/>
      <x:c r="M5"/>
      <x:c r="N5"/>
      <x:c r="O5"/>
      <x:c r="P5"/>
    </x:row>
    <x:row r="6" ht="38" customHeight="1">
      <x:c r="A6" s="38" t="str">
        <x:v>Components</x:v>
      </x:c>
      <x:c r="B6" s="36" t="str">
        <x:f>IF(COUNTA(Components!$A$6:$A$305)=0,"EMPTY",COUNTA(Components!$A$6:$A$305)-COUNTIF(Components!$N$6:$N$305,"COMPLETE")-COUNTIF(Components!$N$6:$N$305,"EXCLUDED"))</x:f>
        <x:v>EMPTY</x:v>
      </x:c>
      <x:c r="C6" s="36" t="str">
        <x:v>Count of held rows; review all evidence and scope separately.</x:v>
      </x:c>
    </x:row>
    <x:row r="7" ht="38" customHeight="1">
      <x:c r="A7" s="38" t="str">
        <x:v>ExAnte</x:v>
      </x:c>
      <x:c r="B7" s="36" t="str">
        <x:f>IF(COUNTA(ExAnte!$A$6:$A$55)=0,"EMPTY",COUNTA(ExAnte!$A$6:$A$55)-COUNTIF(ExAnte!$P$6:$P$55,"CALCULATED - EA"))</x:f>
        <x:v>EMPTY</x:v>
      </x:c>
      <x:c r="C7" s="36" t="str">
        <x:v>Count of held rows; review all evidence and scope separately.</x:v>
      </x:c>
    </x:row>
    <x:row r="8" ht="38" customHeight="1">
      <x:c r="A8" s="38" t="str">
        <x:v>ExPost</x:v>
      </x:c>
      <x:c r="B8" s="36" t="str">
        <x:f>IF(COUNTA(ExPost!$A$6:$A$55)=0,"EMPTY",COUNTA(ExPost!$A$6:$A$55)-COUNTIF(ExPost!$P$6:$P$55,"CALCULATED - EP"))</x:f>
        <x:v>EMPTY</x:v>
      </x:c>
      <x:c r="C8" s="36" t="str">
        <x:v>Count of held rows; review all evidence and scope separately.</x:v>
      </x:c>
    </x:row>
    <x:row r="9" ht="38" customHeight="1">
      <x:c r="A9" s="38" t="str">
        <x:v>Settlement</x:v>
      </x:c>
      <x:c r="B9" s="36" t="str">
        <x:f>IF(COUNTA(Settlement!$A$6:$A$55)=0,"EMPTY",COUNTA(Settlement!$A$6:$A$55)-COUNTIF(Settlement!$M$6:$M$55,"CANDIDATE - NO AUTHORIZATION"))</x:f>
        <x:v>EMPTY</x:v>
      </x:c>
      <x:c r="C9" s="36" t="str">
        <x:v>Count of held rows; review all evidence and scope separately.</x:v>
      </x:c>
    </x:row>
    <x:row r="10" ht="38" customHeight="1">
      <x:c r="A10" s="38" t="str">
        <x:v>CarryForward</x:v>
      </x:c>
      <x:c r="B10" s="36" t="str">
        <x:f>IF(COUNTA(CarryForward!$A$6:$A$55)=0,"EMPTY",COUNTA(CarryForward!$A$6:$A$55)-COUNTIF(CarryForward!$N$6:$N$55,"CALCULATED - REVIEW LEDGER"))</x:f>
        <x:v>EMPTY</x:v>
      </x:c>
      <x:c r="C10" s="36" t="str">
        <x:v>Count of held rows; review all evidence and scope separately.</x:v>
      </x:c>
    </x:row>
    <x:row r="11" ht="38" customHeight="1">
      <x:c r="A11" s="38" t="str">
        <x:v>Comparison</x:v>
      </x:c>
      <x:c r="B11" s="36" t="str">
        <x:f>IF(COUNTA(Comparison!$A$6:$A$55)=0,"EMPTY",COUNTA(Comparison!$A$6:$A$55)-COUNTIF(Comparison!$L$6:$L$55,"ARITHMETIC MATCH"))</x:f>
        <x:v>EMPTY</x:v>
      </x:c>
      <x:c r="C11" s="36" t="str">
        <x:v>Count of held rows; review all evidence and scope separately.</x:v>
      </x:c>
    </x:row>
    <x:row r="12" ht="38" customHeight="1">
      <x:c r="A12" s="38" t="str">
        <x:v>Allocation</x:v>
      </x:c>
      <x:c r="B12" s="36" t="str">
        <x:f>IF(COUNTA(Allocation!$A$6:$A$155)=0,"EMPTY",COUNTA(Allocation!$A$6:$A$155)-COUNTIF(Allocation!$L$6:$L$155,"ARITHMETIC MATCH"))</x:f>
        <x:v>EMPTY</x:v>
      </x:c>
      <x:c r="C12" s="36" t="str">
        <x:v>Count of held rows; review all evidence and scope separately.</x:v>
      </x:c>
    </x:row>
    <x:row r="13" ht="38" customHeight="1">
      <x:c r="A13" s="38"/>
      <x:c r="B13" s="36"/>
      <x:c r="C13" s="36"/>
    </x:row>
    <x:row r="14" ht="38" customHeight="1">
      <x:c r="A14" s="38" t="str">
        <x:v>Authority</x:v>
      </x:c>
      <x:c r="B14" s="36" t="str">
        <x:v>NONE</x:v>
      </x:c>
      <x:c r="C14" s="36" t="str">
        <x:v>No formula grants authorization.</x:v>
      </x:c>
    </x:row>
    <x:row r="15" ht="38" customHeight="1">
      <x:c r="A15" s="38"/>
      <x:c r="B15" s="36"/>
      <x:c r="C15" s="36"/>
    </x:row>
    <x:row r="16" ht="38" customHeight="1">
      <x:c r="A16" s="38"/>
      <x:c r="B16" s="36"/>
      <x:c r="C16" s="36"/>
    </x:row>
    <x:row r="17" ht="38" customHeight="1">
      <x:c r="A17" s="38"/>
      <x:c r="B17" s="36"/>
      <x:c r="C17" s="36"/>
    </x:row>
    <x:row r="18" ht="38" customHeight="1">
      <x:c r="A18" s="38"/>
      <x:c r="B18" s="36"/>
      <x:c r="C18" s="36"/>
    </x:row>
    <x:row r="19" ht="38" customHeight="1">
      <x:c r="A19" s="38"/>
      <x:c r="B19" s="36"/>
      <x:c r="C19" s="36"/>
    </x:row>
    <x:row r="20" ht="38" customHeight="1">
      <x:c r="A20" s="38"/>
      <x:c r="B20" s="36"/>
      <x:c r="C20" s="36"/>
    </x:row>
    <x:row r="21" ht="23" customHeight="1">
      <x:c r="A21" s="38"/>
      <x:c r="B21" s="36"/>
      <x:c r="C21" s="36"/>
    </x:row>
    <x:row r="22" ht="23" customHeight="1">
      <x:c r="A22" s="38"/>
      <x:c r="B22" s="36"/>
      <x:c r="C22" s="36"/>
    </x:row>
    <x:row r="23" ht="23" customHeight="1">
      <x:c r="A23" s="38"/>
      <x:c r="B23" s="36"/>
      <x:c r="C23" s="36"/>
    </x:row>
    <x:row r="24" ht="23" customHeight="1">
      <x:c r="A24" s="38"/>
      <x:c r="B24" s="36"/>
      <x:c r="C24" s="36"/>
    </x:row>
  </x:sheetData>
  <x:mergeCells>
    <x:mergeCell ref="A1:C2"/>
    <x:mergeCell ref="A3:C4"/>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3" hidden="0" customWidth="1"/>
  </x:cols>
  <x:sheetData>
    <x:row r="1" ht="23" customHeight="1">
      <x:c r="A1" s="21" t="str">
        <x:v>Synthetic arithmetic checks</x:v>
      </x:c>
      <x:c r="B1" s="21"/>
      <x:c r="C1" s="21"/>
      <x:c r="D1" s="21"/>
      <x:c r="E1" s="21"/>
      <x:c r="F1" s="21"/>
      <x:c r="G1" s="21"/>
      <x:c r="H1" s="21"/>
    </x:row>
    <x:row r="2" ht="23" customHeight="1">
      <x:c r="A2" s="21"/>
      <x:c r="B2" s="21"/>
      <x:c r="C2" s="21"/>
      <x:c r="D2" s="21"/>
      <x:c r="E2" s="21"/>
      <x:c r="F2" s="21"/>
      <x:c r="G2" s="21"/>
      <x:c r="H2" s="21"/>
    </x:row>
    <x:row r="3" ht="23" customHeight="1">
      <x:c r="A3" s="25" t="str">
        <x:v>Synthetic values only. They do not belong to a real project and are not approved rates, default parameters or operational inputs. Do not copy them into a project profile as evidence.</x:v>
      </x:c>
      <x:c r="B3" s="25"/>
      <x:c r="C3" s="25"/>
      <x:c r="D3" s="25"/>
      <x:c r="E3" s="25"/>
      <x:c r="F3" s="25"/>
      <x:c r="G3" s="25"/>
      <x:c r="H3" s="25"/>
    </x:row>
    <x:row r="4" ht="23" customHeight="1">
      <x:c r="A4" s="25"/>
      <x:c r="B4" s="25"/>
      <x:c r="C4" s="25"/>
      <x:c r="D4" s="25"/>
      <x:c r="E4" s="25"/>
      <x:c r="F4" s="25"/>
      <x:c r="G4" s="25"/>
      <x:c r="H4" s="25"/>
    </x:row>
    <x:row r="5" ht="80" customHeight="1">
      <x:c r="A5" s="29" t="str">
        <x:v>Case</x:v>
      </x:c>
      <x:c r="B5" s="29" t="str">
        <x:v>Input 1
x_1 [case-specific]
[see case]</x:v>
      </x:c>
      <x:c r="C5" s="29" t="str">
        <x:v>Input 2
x_2 [case-specific]
[see case]</x:v>
      </x:c>
      <x:c r="D5" s="29" t="str">
        <x:v>Input 3
x_3 [case-specific]
[see case]</x:v>
      </x:c>
      <x:c r="E5" s="29" t="str">
        <x:v>Calculated
y_calc
[see case]</x:v>
      </x:c>
      <x:c r="F5" s="29" t="str">
        <x:v>Expected
y_expected
[see case]</x:v>
      </x:c>
      <x:c r="G5" s="29" t="str">
        <x:v>Residual
y_calc - y_expected
[same as result]</x:v>
      </x:c>
      <x:c r="H5" s="29" t="str">
        <x:v>Interpretation</x:v>
      </x:c>
      <x:c r="I5"/>
      <x:c r="J5"/>
      <x:c r="K5"/>
      <x:c r="L5"/>
      <x:c r="M5"/>
      <x:c r="N5"/>
      <x:c r="O5"/>
      <x:c r="P5"/>
    </x:row>
    <x:row r="6" ht="38" customHeight="1">
      <x:c r="A6" s="38" t="str">
        <x:v>Negative bridge</x:v>
      </x:c>
      <x:c r="B6" s="36" t="n">
        <x:v>30</x:v>
      </x:c>
      <x:c r="C6" s="36" t="n">
        <x:v>-80</x:v>
      </x:c>
      <x:c r="D6" s="36" t="n">
        <x:v>0</x:v>
      </x:c>
      <x:c r="E6" s="36" t="n">
        <x:f>B6+MAX(0,-C6)</x:f>
        <x:v>110</x:v>
      </x:c>
      <x:c r="F6" s="36" t="n">
        <x:v>110</x:v>
      </x:c>
      <x:c r="G6" s="36" t="n">
        <x:f>E6-F6</x:f>
        <x:v>0</x:v>
      </x:c>
      <x:c r="H6" s="36" t="str">
        <x:v>Drem + max(0,-Qlow).</x:v>
      </x:c>
    </x:row>
    <x:row r="7" ht="38" customHeight="1">
      <x:c r="A7" s="38" t="str">
        <x:v>Cancellation bridge</x:v>
      </x:c>
      <x:c r="B7" s="36" t="n">
        <x:v>30</x:v>
      </x:c>
      <x:c r="C7" s="36" t="n">
        <x:v>-80</x:v>
      </x:c>
      <x:c r="D7" s="36" t="n">
        <x:v>20</x:v>
      </x:c>
      <x:c r="E7" s="36" t="n">
        <x:f>B7+MAX(0,-C7)-D7</x:f>
        <x:v>90</x:v>
      </x:c>
      <x:c r="F7" s="36" t="n">
        <x:v>90</x:v>
      </x:c>
      <x:c r="G7" s="36" t="n">
        <x:f>E7-F7</x:f>
        <x:v>0</x:v>
      </x:c>
      <x:c r="H7" s="36" t="str">
        <x:v>Executed compatible cancellation only.</x:v>
      </x:c>
    </x:row>
    <x:row r="8" ht="38" customHeight="1">
      <x:c r="A8" s="38" t="str">
        <x:v>Next-period base</x:v>
      </x:c>
      <x:c r="B8" s="36" t="n">
        <x:v>150</x:v>
      </x:c>
      <x:c r="C8" s="36" t="n">
        <x:v>90</x:v>
      </x:c>
      <x:c r="D8" s="36" t="n">
        <x:v>0</x:v>
      </x:c>
      <x:c r="E8" s="36" t="n">
        <x:f>MAX(0,B8-C8)</x:f>
        <x:v>60</x:v>
      </x:c>
      <x:c r="F8" s="36" t="n">
        <x:v>60</x:v>
      </x:c>
      <x:c r="G8" s="36" t="n">
        <x:f>E8-F8</x:f>
        <x:v>0</x:v>
      </x:c>
      <x:c r="H8" s="36" t="str">
        <x:v>Post-liability base before reserve.</x:v>
      </x:c>
    </x:row>
    <x:row r="9" ht="38" customHeight="1">
      <x:c r="A9" s="38" t="str">
        <x:v>Illustrative reserve</x:v>
      </x:c>
      <x:c r="B9" s="36" t="n">
        <x:v>60</x:v>
      </x:c>
      <x:c r="C9" s="36" t="n">
        <x:v>0.1</x:v>
      </x:c>
      <x:c r="D9" s="36" t="n">
        <x:v>0</x:v>
      </x:c>
      <x:c r="E9" s="36" t="n">
        <x:f>B9*C9</x:f>
        <x:v>6</x:v>
      </x:c>
      <x:c r="F9" s="36" t="n">
        <x:v>6</x:v>
      </x:c>
      <x:c r="G9" s="36" t="n">
        <x:f>E9-F9</x:f>
        <x:v>0</x:v>
      </x:c>
      <x:c r="H9" s="36" t="str">
        <x:v>0.10 is an example, not a rule.</x:v>
      </x:c>
    </x:row>
    <x:row r="10" ht="38" customHeight="1">
      <x:c r="A10" s="38" t="str">
        <x:v>Available mass</x:v>
      </x:c>
      <x:c r="B10" s="36" t="n">
        <x:v>150</x:v>
      </x:c>
      <x:c r="C10" s="36" t="n">
        <x:v>90</x:v>
      </x:c>
      <x:c r="D10" s="36" t="n">
        <x:v>6</x:v>
      </x:c>
      <x:c r="E10" s="36" t="n">
        <x:f>B10-C10-D10</x:f>
        <x:v>54</x:v>
      </x:c>
      <x:c r="F10" s="36" t="n">
        <x:v>54</x:v>
      </x:c>
      <x:c r="G10" s="36" t="n">
        <x:f>E10-F10</x:f>
        <x:v>0</x:v>
      </x:c>
      <x:c r="H10" s="36" t="str">
        <x:v>150 = 90 + 6 + 54.</x:v>
      </x:c>
    </x:row>
    <x:row r="11" ht="38" customHeight="1">
      <x:c r="A11" s="38" t="str">
        <x:v>Biomass conversion</x:v>
      </x:c>
      <x:c r="B11" s="36" t="n">
        <x:v>100</x:v>
      </x:c>
      <x:c r="C11" s="36" t="n">
        <x:v>0.5</x:v>
      </x:c>
      <x:c r="D11" s="36" t="n">
        <x:v>0</x:v>
      </x:c>
      <x:c r="E11" s="36" t="n">
        <x:f>B11*C11</x:f>
        <x:v>50</x:v>
      </x:c>
      <x:c r="F11" s="36" t="n">
        <x:v>50</x:v>
      </x:c>
      <x:c r="G11" s="36" t="n">
        <x:f>E11-F11</x:f>
        <x:v>0</x:v>
      </x:c>
      <x:c r="H11" s="36" t="str">
        <x:v>Mg dry biomass/ha × fraction → Mg C/ha.</x:v>
      </x:c>
    </x:row>
    <x:row r="12" ht="38" customHeight="1">
      <x:c r="A12" s="38" t="str">
        <x:v>Pixel-area conversion</x:v>
      </x:c>
      <x:c r="B12" s="36" t="n">
        <x:v>12</x:v>
      </x:c>
      <x:c r="C12" s="36" t="n">
        <x:v>625</x:v>
      </x:c>
      <x:c r="D12" s="36" t="n">
        <x:v>0</x:v>
      </x:c>
      <x:c r="E12" s="36" t="n">
        <x:f>B12*C12/Profile!$B$15</x:f>
        <x:v>0.75</x:v>
      </x:c>
      <x:c r="F12" s="36" t="n">
        <x:v>0.75</x:v>
      </x:c>
      <x:c r="G12" s="36" t="n">
        <x:f>E12-F12</x:f>
        <x:v>0</x:v>
      </x:c>
      <x:c r="H12" s="36" t="str">
        <x:v>12 cells × 625 m2 / 10000.</x:v>
      </x:c>
    </x:row>
    <x:row r="13" ht="38" customHeight="1">
      <x:c r="A13" s="38" t="str">
        <x:v>Net comparison</x:v>
      </x:c>
      <x:c r="B13" s="36" t="n">
        <x:v>20</x:v>
      </x:c>
      <x:c r="C13" s="36" t="n">
        <x:v>3</x:v>
      </x:c>
      <x:c r="D13" s="36" t="n">
        <x:v>2</x:v>
      </x:c>
      <x:c r="E13" s="36" t="n">
        <x:f>B13-C13-D13</x:f>
        <x:v>15</x:v>
      </x:c>
      <x:c r="F13" s="36" t="n">
        <x:v>15</x:v>
      </x:c>
      <x:c r="G13" s="36" t="n">
        <x:f>E13-F13</x:f>
        <x:v>0</x:v>
      </x:c>
      <x:c r="H13" s="36" t="str">
        <x:v>delta BL − delta PJ − delta LK.</x:v>
      </x:c>
    </x:row>
    <x:row r="14" ht="23" customHeight="1">
      <x:c r="A14" s="38"/>
      <x:c r="B14" s="36"/>
      <x:c r="C14" s="36"/>
      <x:c r="D14" s="36"/>
      <x:c r="E14" s="36"/>
      <x:c r="F14" s="36"/>
      <x:c r="G14" s="36"/>
      <x:c r="H14" s="36"/>
    </x:row>
    <x:row r="15" ht="23" customHeight="1">
      <x:c r="A15" s="38"/>
      <x:c r="B15" s="36"/>
      <x:c r="C15" s="36"/>
      <x:c r="D15" s="36"/>
      <x:c r="E15" s="36"/>
      <x:c r="F15" s="36"/>
      <x:c r="G15" s="36"/>
      <x:c r="H15" s="36"/>
    </x:row>
    <x:row r="16" ht="23" customHeight="1">
      <x:c r="A16" s="38"/>
      <x:c r="B16" s="36"/>
      <x:c r="C16" s="36"/>
      <x:c r="D16" s="36"/>
      <x:c r="E16" s="36"/>
      <x:c r="F16" s="36"/>
      <x:c r="G16" s="36"/>
      <x:c r="H16" s="36"/>
    </x:row>
    <x:row r="17" ht="23" customHeight="1">
      <x:c r="A17" s="38"/>
      <x:c r="B17" s="36"/>
      <x:c r="C17" s="36"/>
      <x:c r="D17" s="36"/>
      <x:c r="E17" s="36"/>
      <x:c r="F17" s="36"/>
      <x:c r="G17" s="36"/>
      <x:c r="H17" s="36"/>
    </x:row>
    <x:row r="18" ht="23" customHeight="1">
      <x:c r="A18" s="38"/>
      <x:c r="B18" s="36"/>
      <x:c r="C18" s="36"/>
      <x:c r="D18" s="36"/>
      <x:c r="E18" s="36"/>
      <x:c r="F18" s="36"/>
      <x:c r="G18" s="36"/>
      <x:c r="H18" s="36"/>
    </x:row>
    <x:row r="19" ht="23" customHeight="1">
      <x:c r="A19" s="38"/>
      <x:c r="B19" s="36"/>
      <x:c r="C19" s="36"/>
      <x:c r="D19" s="36"/>
      <x:c r="E19" s="36"/>
      <x:c r="F19" s="36"/>
      <x:c r="G19" s="36"/>
      <x:c r="H19" s="36"/>
    </x:row>
    <x:row r="20" ht="23" customHeight="1">
      <x:c r="A20" s="38"/>
      <x:c r="B20" s="36"/>
      <x:c r="C20" s="36"/>
      <x:c r="D20" s="36"/>
      <x:c r="E20" s="36"/>
      <x:c r="F20" s="36"/>
      <x:c r="G20" s="36"/>
      <x:c r="H20" s="36"/>
    </x:row>
  </x:sheetData>
  <x:mergeCells>
    <x:mergeCell ref="A1:H2"/>
    <x:mergeCell ref="A3:H4"/>
  </x:mergeCells>
  <x:pageMargins left="0.7" right="0.7" top="0.75" bottom="0.75" header="0.3" footer="0.3"/>
</x:worksheet>
</file>

<file path=xl/worksheets/sheet17.xml><?xml version="1.0" encoding="utf-8"?>
<x:worksheet xmlns:x="http://schemas.openxmlformats.org/spreadsheetml/2006/main">
  <x:sheetFormatPr defaultRowHeight="15"/>
  <x:cols>
    <x:col min="1" max="1" width="33" hidden="0" customWidth="1"/>
    <x:col min="2" max="2" width="43" hidden="0" customWidth="1"/>
    <x:col min="3" max="3" width="29" hidden="0" customWidth="1"/>
    <x:col min="4" max="4" width="66" hidden="0" customWidth="1"/>
  </x:cols>
  <x:sheetData>
    <x:row r="1" ht="23" customHeight="1">
      <x:c r="A1" s="21" t="str">
        <x:v>Formula scope and evidence interface</x:v>
      </x:c>
      <x:c r="B1" s="21"/>
      <x:c r="C1" s="21"/>
      <x:c r="D1" s="21"/>
    </x:row>
    <x:row r="2" ht="23" customHeight="1">
      <x:c r="A2" s="21"/>
      <x:c r="B2" s="21"/>
      <x:c r="C2" s="21"/>
      <x:c r="D2" s="21"/>
    </x:row>
    <x:row r="3" ht="23" customHeight="1">
      <x:c r="A3" s="25" t="str">
        <x:v>References are to NEBIOT Standard 0.8.2 [1]. Spreadsheet formulas implement only the described bounded operations; they do not replace the scientific model.</x:v>
      </x:c>
      <x:c r="B3" s="25"/>
      <x:c r="C3" s="25"/>
      <x:c r="D3" s="25"/>
    </x:row>
    <x:row r="4" ht="23" customHeight="1">
      <x:c r="A4" s="25"/>
      <x:c r="B4" s="25"/>
      <x:c r="C4" s="25"/>
      <x:c r="D4" s="25"/>
    </x:row>
    <x:row r="5" ht="47" customHeight="1">
      <x:c r="A5" s="29" t="str">
        <x:v>Sheet / cells</x:v>
      </x:c>
      <x:c r="B5" s="29" t="str">
        <x:v>Calculation</x:v>
      </x:c>
      <x:c r="C5" s="29" t="str">
        <x:v>Governing reference</x:v>
      </x:c>
      <x:c r="D5" s="29" t="str">
        <x:v>Scope / limitation</x:v>
      </x:c>
    </x:row>
    <x:row r="6" ht="49" customHeight="1">
      <x:c r="A6" s="38" t="str">
        <x:v>Spatial!I6:I55</x:v>
      </x:c>
      <x:c r="B6" s="36" t="str">
        <x:v>pixel count × cell area / m2 per ha</x:v>
      </x:c>
      <x:c r="C6" s="36" t="str">
        <x:v>M01; MIG-13; MIG-14</x:v>
      </x:c>
      <x:c r="D6" s="36" t="str">
        <x:v>Geometric conversion only; gross transition vs net change remains explicit.</x:v>
      </x:c>
    </x:row>
    <x:row r="7" ht="49" customHeight="1">
      <x:c r="A7" s="38" t="str">
        <x:v>Factors!F6:G55</x:v>
      </x:c>
      <x:c r="B7" s="36" t="str">
        <x:v>biomass × carbon fraction; carbon × 44/12</x:v>
      </x:c>
      <x:c r="C7" s="36" t="str">
        <x:v>M02; F-M01; MIG-13</x:v>
      </x:c>
      <x:c r="D7" s="36" t="str">
        <x:v>No default tissue fraction; no annual credit from standing stocks.</x:v>
      </x:c>
    </x:row>
    <x:row r="8" ht="49" customHeight="1">
      <x:c r="A8" s="38" t="str">
        <x:v>Components!I6:I305</x:v>
      </x:c>
      <x:c r="B8" s="36" t="str">
        <x:v>signed quantity × matched factor</x:v>
      </x:c>
      <x:c r="C8" s="36" t="str">
        <x:v>F-01; T-08; M04</x:v>
      </x:c>
      <x:c r="D8" s="36" t="str">
        <x:v>Upstream cohorts, gases, models and uncertainty require their own calculation records.</x:v>
      </x:c>
    </x:row>
    <x:row r="9" ht="49" customHeight="1">
      <x:c r="A9" s="38" t="str">
        <x:v>ExAnte / ExPost!F6:I55</x:v>
      </x:c>
      <x:c r="B9" s="36" t="str">
        <x:v>SUMIFS per period and account; BL − PJ − LK</x:v>
      </x:c>
      <x:c r="C9" s="36" t="str">
        <x:v>M04.5; F-R01</x:v>
      </x:c>
      <x:c r="D9" s="36" t="str">
        <x:v>Separate baseline emissions from a baseline-minus-project subtotal.</x:v>
      </x:c>
    </x:row>
    <x:row r="10" ht="49" customHeight="1">
      <x:c r="A10" s="38" t="str">
        <x:v>ExAnte / ExPost!L6:L55</x:v>
      </x:c>
      <x:c r="B10" s="36" t="str">
        <x:v>Qhat − approved deduction OR supplied bound</x:v>
      </x:c>
      <x:c r="C10" s="36" t="str">
        <x:v>M05; F-A02; F-U01</x:v>
      </x:c>
      <x:c r="D10" s="36" t="str">
        <x:v>No statistical confidence, uncertainty factor or covariance is estimated by this sheet.</x:v>
      </x:c>
    </x:row>
    <x:row r="11" ht="49" customHeight="1">
      <x:c r="A11" s="38" t="str">
        <x:v>Settlement!E6:L55</x:v>
      </x:c>
      <x:c r="B11" s="36" t="str">
        <x:v>max(0,Qlow); min(D,eligible); remainder; base − reserve</x:v>
      </x:c>
      <x:c r="C11" s="36" t="str">
        <x:v>M05.4; M05.5; F-R03</x:v>
      </x:c>
      <x:c r="D11" s="36" t="str">
        <x:v>Candidate allocation distinct from actual execution.</x:v>
      </x:c>
    </x:row>
    <x:row r="12" ht="49" customHeight="1">
      <x:c r="A12" s="38" t="str">
        <x:v>CarryForward!H6:J55</x:v>
      </x:c>
      <x:c r="B12" s="36" t="str">
        <x:v>Nminus − recognized overlap − executed cancellation; Drem + new debt</x:v>
      </x:c>
      <x:c r="C12" s="36" t="str">
        <x:v>F-03; F-R05a; F-R05b</x:v>
      </x:c>
      <x:c r="D12" s="36" t="str">
        <x:v>Only expressly adopted FULL_BOUND; evidence and no double charging.</x:v>
      </x:c>
    </x:row>
    <x:row r="13" ht="49" customHeight="1">
      <x:c r="A13" s="38" t="str">
        <x:v>Results!H6:H55</x:v>
      </x:c>
      <x:c r="B13" s="36" t="str">
        <x:v>available mass / positive approved d_u</x:v>
      </x:c>
      <x:c r="C13" s="36" t="str">
        <x:v>F-R04; U-01</x:v>
      </x:c>
      <x:c r="D13" s="36" t="str">
        <x:v>Candidate count only; no whole-unit policy or issuance.</x:v>
      </x:c>
    </x:row>
    <x:row r="14" ht="49" customHeight="1">
      <x:c r="A14" s="38" t="str">
        <x:v>Comparison!F6:J55</x:v>
      </x:c>
      <x:c r="B14" s="36" t="str">
        <x:v>matched differences and signed closure</x:v>
      </x:c>
      <x:c r="C14" s="36" t="str">
        <x:v>P-13; F-01</x:v>
      </x:c>
      <x:c r="D14" s="36" t="str">
        <x:v>Arithmetic identity, not causal attribution.</x:v>
      </x:c>
    </x:row>
    <x:row r="15" ht="49" customHeight="1">
      <x:c r="A15" s="38" t="str">
        <x:v>Migration!H6:K55</x:v>
      </x:c>
      <x:c r="B15" s="36" t="str">
        <x:v>basis difference + method difference = total difference</x:v>
      </x:c>
      <x:c r="C15" s="36" t="str">
        <x:v>MIG-03; MIG-05; MIG-06</x:v>
      </x:c>
      <x:c r="D15" s="36" t="str">
        <x:v>Retains originals; no automatic replacement or unit conversion.</x:v>
      </x:c>
    </x:row>
    <x:row r="16" ht="49" customHeight="1">
      <x:c r="A16" s="38" t="str">
        <x:v>Allocation!E6:I155</x:v>
      </x:c>
      <x:c r="B16" s="36" t="str">
        <x:v>parent × weights; within-parent closure</x:v>
      </x:c>
      <x:c r="C16" s="36" t="str">
        <x:v>F-01; P-13</x:v>
      </x:c>
      <x:c r="D16" s="36" t="str">
        <x:v>Subperiod allocation is not subperiod observation.</x:v>
      </x:c>
    </x:row>
    <x:row r="17" ht="49" customHeight="1">
      <x:c r="A17" s="38"/>
      <x:c r="B17" s="36"/>
      <x:c r="C17" s="36"/>
      <x:c r="D17" s="36"/>
    </x:row>
    <x:row r="18" ht="49" customHeight="1">
      <x:c r="A18" s="38"/>
      <x:c r="B18" s="36"/>
      <x:c r="C18" s="36"/>
      <x:c r="D18" s="36"/>
    </x:row>
    <x:row r="19" ht="49" customHeight="1">
      <x:c r="A19" s="38"/>
      <x:c r="B19" s="36"/>
      <x:c r="C19" s="36"/>
      <x:c r="D19" s="36"/>
    </x:row>
    <x:row r="20" ht="49" customHeight="1">
      <x:c r="A20" s="38"/>
      <x:c r="B20" s="36"/>
      <x:c r="C20" s="36"/>
      <x:c r="D20" s="36"/>
    </x:row>
    <x:row r="21" ht="49" customHeight="1">
      <x:c r="A21" s="38"/>
      <x:c r="B21" s="36"/>
      <x:c r="C21" s="36"/>
      <x:c r="D21" s="36"/>
    </x:row>
    <x:row r="22" ht="49" customHeight="1">
      <x:c r="A22" s="38"/>
      <x:c r="B22" s="36"/>
      <x:c r="C22" s="36"/>
      <x:c r="D22" s="36"/>
    </x:row>
    <x:row r="23" ht="49" customHeight="1">
      <x:c r="A23" s="38"/>
      <x:c r="B23" s="36"/>
      <x:c r="C23" s="36"/>
      <x:c r="D23" s="36"/>
    </x:row>
    <x:row r="24" ht="49" customHeight="1">
      <x:c r="A24" s="38"/>
      <x:c r="B24" s="36"/>
      <x:c r="C24" s="36"/>
      <x:c r="D24" s="36"/>
    </x:row>
    <x:row r="25" ht="49" customHeight="1">
      <x:c r="A25" s="38"/>
      <x:c r="B25" s="36"/>
      <x:c r="C25" s="36"/>
      <x:c r="D25" s="36"/>
    </x:row>
    <x:row r="26" ht="23" customHeight="1">
      <x:c r="A26" s="38"/>
      <x:c r="B26" s="36"/>
      <x:c r="C26" s="36"/>
      <x:c r="D26" s="36"/>
    </x:row>
  </x:sheetData>
  <x:mergeCells>
    <x:mergeCell ref="A1:D2"/>
    <x:mergeCell ref="A3:D4"/>
  </x:mergeCell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27" hidden="0" customWidth="1"/>
    <x:col min="5" max="5" width="35" hidden="0" customWidth="1"/>
    <x:col min="6" max="6" width="24" hidden="0" customWidth="1"/>
  </x:cols>
  <x:sheetData>
    <x:row r="1" ht="32" customHeight="1">
      <x:c r="A1" s="57" t="str">
        <x:v>Variable and cell dictionary</x:v>
      </x:c>
      <x:c r="B1" s="57"/>
      <x:c r="C1" s="57"/>
      <x:c r="D1" s="57"/>
      <x:c r="E1" s="57"/>
      <x:c r="F1" s="57"/>
    </x:row>
    <x:row r="2" ht="26" customHeight="1">
      <x:c r="A2" s="59" t="str">
        <x:v>Symbols are identical across languages. Each calculation-column heading identifies its mathematical quantity. Cell addresses are unchanged.</x:v>
      </x:c>
      <x:c r="B2" s="59"/>
      <x:c r="C2" s="59"/>
      <x:c r="D2" s="59"/>
      <x:c r="E2" s="59"/>
      <x:c r="F2" s="59"/>
    </x:row>
    <x:row r="3" ht="26" customHeight="1">
      <x:c r="A3" s="59"/>
      <x:c r="B3" s="59"/>
      <x:c r="C3" s="59"/>
      <x:c r="D3" s="59"/>
      <x:c r="E3" s="59"/>
      <x:c r="F3" s="59"/>
    </x:row>
    <x:row r="5" ht="35" customHeight="1">
      <x:c r="A5" s="61" t="str">
        <x:v>Sheet</x:v>
      </x:c>
      <x:c r="B5" s="61" t="str">
        <x:v>Column</x:v>
      </x:c>
      <x:c r="C5" s="61" t="str">
        <x:v>Symbol</x:v>
      </x:c>
      <x:c r="D5" s="61" t="str">
        <x:v>Unit</x:v>
      </x:c>
      <x:c r="E5" s="61" t="str">
        <x:v>Meaning</x:v>
      </x:c>
      <x:c r="F5" s="61" t="str">
        <x:v>Formula key</x:v>
      </x:c>
    </x:row>
    <x:row r="6" ht="90" customHeight="1">
      <x:c r="A6" s="64" t="str">
        <x:v>Spatial</x:v>
      </x:c>
      <x:c r="B6" s="64" t="str">
        <x:v>F</x:v>
      </x:c>
      <x:c r="C6" s="64" t="str">
        <x:v>n_i,t</x:v>
      </x:c>
      <x:c r="D6" s="64" t="str">
        <x:v>pixels</x:v>
      </x:c>
      <x:c r="E6" s="64" t="str">
        <x:v>Pixel count</x:v>
      </x:c>
      <x:c r="F6" s="64" t="str">
        <x:v>AREA; AREA_CHANGE</x:v>
      </x:c>
    </x:row>
    <x:row r="7" ht="90" customHeight="1">
      <x:c r="A7" s="64" t="str">
        <x:v>Spatial</x:v>
      </x:c>
      <x:c r="B7" s="64" t="str">
        <x:v>G</x:v>
      </x:c>
      <x:c r="C7" s="64" t="str">
        <x:v>a_cell</x:v>
      </x:c>
      <x:c r="D7" s="64" t="str">
        <x:v>m2</x:v>
      </x:c>
      <x:c r="E7" s="64" t="str">
        <x:v>Cell area m2</x:v>
      </x:c>
      <x:c r="F7" s="64" t="str">
        <x:v>AREA; AREA_CHANGE</x:v>
      </x:c>
    </x:row>
    <x:row r="8" ht="90" customHeight="1">
      <x:c r="A8" s="64" t="str">
        <x:v>Spatial</x:v>
      </x:c>
      <x:c r="B8" s="64" t="str">
        <x:v>H</x:v>
      </x:c>
      <x:c r="C8" s="64" t="str">
        <x:v>A_i,t [input]</x:v>
      </x:c>
      <x:c r="D8" s="64" t="str">
        <x:v>ha</x:v>
      </x:c>
      <x:c r="E8" s="64" t="str">
        <x:v>Direct area ha</x:v>
      </x:c>
      <x:c r="F8" s="64" t="str">
        <x:v>AREA; AREA_CHANGE</x:v>
      </x:c>
    </x:row>
    <x:row r="9" ht="90" customHeight="1">
      <x:c r="A9" s="64" t="str">
        <x:v>Spatial</x:v>
      </x:c>
      <x:c r="B9" s="64" t="str">
        <x:v>I</x:v>
      </x:c>
      <x:c r="C9" s="64" t="str">
        <x:v>A_i,t</x:v>
      </x:c>
      <x:c r="D9" s="64" t="str">
        <x:v>ha</x:v>
      </x:c>
      <x:c r="E9" s="64" t="str">
        <x:v>Calculated area ha</x:v>
      </x:c>
      <x:c r="F9" s="64" t="str">
        <x:v>AREA; AREA_CHANGE</x:v>
      </x:c>
    </x:row>
    <x:row r="10" ht="90" customHeight="1">
      <x:c r="A10" s="64" t="str">
        <x:v>Factors</x:v>
      </x:c>
      <x:c r="B10" s="64" t="str">
        <x:v>D</x:v>
      </x:c>
      <x:c r="C10" s="64" t="str">
        <x:v>b_i OR c_i OR e_i</x:v>
      </x:c>
      <x:c r="D10" s="64" t="str">
        <x:v>declared native unit</x:v>
      </x:c>
      <x:c r="E10" s="64" t="str">
        <x:v>Native density</x:v>
      </x:c>
      <x:c r="F10" s="64" t="str">
        <x:v>FACTOR</x:v>
      </x:c>
    </x:row>
    <x:row r="11" ht="90" customHeight="1">
      <x:c r="A11" s="64" t="str">
        <x:v>Factors</x:v>
      </x:c>
      <x:c r="B11" s="64" t="str">
        <x:v>E</x:v>
      </x:c>
      <x:c r="C11" s="64" t="str">
        <x:v>f_C,i</x:v>
      </x:c>
      <x:c r="D11" s="64" t="str">
        <x:v>kg C/kg dry</x:v>
      </x:c>
      <x:c r="E11" s="64" t="str">
        <x:v>Carbon fraction</x:v>
      </x:c>
      <x:c r="F11" s="64" t="str">
        <x:v>FACTOR</x:v>
      </x:c>
    </x:row>
    <x:row r="12" ht="90" customHeight="1">
      <x:c r="A12" s="64" t="str">
        <x:v>Factors</x:v>
      </x:c>
      <x:c r="B12" s="64" t="str">
        <x:v>F</x:v>
      </x:c>
      <x:c r="C12" s="64" t="str">
        <x:v>c_i</x:v>
      </x:c>
      <x:c r="D12" s="64" t="str">
        <x:v>Mg C/ha</x:v>
      </x:c>
      <x:c r="E12" s="64" t="str">
        <x:v>Mg C / ha</x:v>
      </x:c>
      <x:c r="F12" s="64" t="str">
        <x:v>FACTOR</x:v>
      </x:c>
    </x:row>
    <x:row r="13" ht="90" customHeight="1">
      <x:c r="A13" s="64" t="str">
        <x:v>Factors</x:v>
      </x:c>
      <x:c r="B13" s="64" t="str">
        <x:v>G</x:v>
      </x:c>
      <x:c r="C13" s="64" t="str">
        <x:v>e_i_stock</x:v>
      </x:c>
      <x:c r="D13" s="64" t="str">
        <x:v>t CO2/ha; CO2E by scope</x:v>
      </x:c>
      <x:c r="E13" s="64" t="str">
        <x:v>CO2 mass equivalent / ha</x:v>
      </x:c>
      <x:c r="F13" s="64" t="str">
        <x:v>FACTOR</x:v>
      </x:c>
    </x:row>
    <x:row r="14" ht="90" customHeight="1">
      <x:c r="A14" s="64" t="str">
        <x:v>Components</x:v>
      </x:c>
      <x:c r="B14" s="64" t="str">
        <x:v>G</x:v>
      </x:c>
      <x:c r="C14" s="64" t="str">
        <x:v>x_l,s,t</x:v>
      </x:c>
      <x:c r="D14" s="64" t="str">
        <x:v>declared unit</x:v>
      </x:c>
      <x:c r="E14" s="64" t="str">
        <x:v>Signed quantity</x:v>
      </x:c>
      <x:c r="F14" s="64" t="str">
        <x:v>COMP; GASES</x:v>
      </x:c>
    </x:row>
    <x:row r="15" ht="90" customHeight="1">
      <x:c r="A15" s="64" t="str">
        <x:v>Components</x:v>
      </x:c>
      <x:c r="B15" s="64" t="str">
        <x:v>H</x:v>
      </x:c>
      <x:c r="C15" s="64" t="str">
        <x:v>f_l,s,t</x:v>
      </x:c>
      <x:c r="D15" s="64" t="str">
        <x:v>t CO2e / input unit</x:v>
      </x:c>
      <x:c r="E15" s="64" t="str">
        <x:v>Matched factor</x:v>
      </x:c>
      <x:c r="F15" s="64" t="str">
        <x:v>COMP; GASES</x:v>
      </x:c>
    </x:row>
    <x:row r="16" ht="90" customHeight="1">
      <x:c r="A16" s="64" t="str">
        <x:v>Components</x:v>
      </x:c>
      <x:c r="B16" s="64" t="str">
        <x:v>I</x:v>
      </x:c>
      <x:c r="C16" s="64" t="str">
        <x:v>q_l,s,t</x:v>
      </x:c>
      <x:c r="D16" s="64" t="str">
        <x:v>t CO2e/period</x:v>
      </x:c>
      <x:c r="E16" s="64" t="str">
        <x:v>Component t CO2e</x:v>
      </x:c>
      <x:c r="F16" s="64" t="str">
        <x:v>COMP; GASES</x:v>
      </x:c>
    </x:row>
    <x:row r="17" ht="90" customHeight="1">
      <x:c r="A17" s="64" t="str">
        <x:v>ExAnte</x:v>
      </x:c>
      <x:c r="B17" s="64" t="str">
        <x:v>F</x:v>
      </x:c>
      <x:c r="C17" s="64" t="str">
        <x:v>N_BL,t^EA</x:v>
      </x:c>
      <x:c r="D17" s="64" t="str">
        <x:v>t CO2e/period</x:v>
      </x:c>
      <x:c r="E17" s="64" t="str">
        <x:v>Baseline t CO2e</x:v>
      </x:c>
      <x:c r="F17" s="64" t="str">
        <x:v>NET; BOUND; SETTLE</x:v>
      </x:c>
    </x:row>
    <x:row r="18" ht="90" customHeight="1">
      <x:c r="A18" s="64" t="str">
        <x:v>ExAnte</x:v>
      </x:c>
      <x:c r="B18" s="64" t="str">
        <x:v>G</x:v>
      </x:c>
      <x:c r="C18" s="64" t="str">
        <x:v>N_PJ,t^EA</x:v>
      </x:c>
      <x:c r="D18" s="64" t="str">
        <x:v>t CO2e/period</x:v>
      </x:c>
      <x:c r="E18" s="64" t="str">
        <x:v>Project t CO2e</x:v>
      </x:c>
      <x:c r="F18" s="64" t="str">
        <x:v>NET; BOUND; SETTLE</x:v>
      </x:c>
    </x:row>
    <x:row r="19" ht="90" customHeight="1">
      <x:c r="A19" s="64" t="str">
        <x:v>ExAnte</x:v>
      </x:c>
      <x:c r="B19" s="64" t="str">
        <x:v>H</x:v>
      </x:c>
      <x:c r="C19" s="64" t="str">
        <x:v>L_t^EA</x:v>
      </x:c>
      <x:c r="D19" s="64" t="str">
        <x:v>t CO2e/period</x:v>
      </x:c>
      <x:c r="E19" s="64" t="str">
        <x:v>Leakage t CO2e</x:v>
      </x:c>
      <x:c r="F19" s="64" t="str">
        <x:v>NET; BOUND; SETTLE</x:v>
      </x:c>
    </x:row>
    <x:row r="20" ht="90" customHeight="1">
      <x:c r="A20" s="64" t="str">
        <x:v>ExAnte</x:v>
      </x:c>
      <x:c r="B20" s="64" t="str">
        <x:v>I</x:v>
      </x:c>
      <x:c r="C20" s="64" t="str">
        <x:v>Q_hat,t^EA</x:v>
      </x:c>
      <x:c r="D20" s="64" t="str">
        <x:v>t CO2e/period</x:v>
      </x:c>
      <x:c r="E20" s="64" t="str">
        <x:v>Net result Q_hat</x:v>
      </x:c>
      <x:c r="F20" s="64" t="str">
        <x:v>NET; BOUND; SETTLE</x:v>
      </x:c>
    </x:row>
    <x:row r="21" ht="90" customHeight="1">
      <x:c r="A21" s="64" t="str">
        <x:v>ExAnte</x:v>
      </x:c>
      <x:c r="B21" s="64" t="str">
        <x:v>K</x:v>
      </x:c>
      <x:c r="C21" s="64" t="str">
        <x:v>delta_t OR q_bound,t</x:v>
      </x:c>
      <x:c r="D21" s="64" t="str">
        <x:v>t CO2e/period</x:v>
      </x:c>
      <x:c r="E21" s="64" t="str">
        <x:v>Deduction or bound</x:v>
      </x:c>
      <x:c r="F21" s="64" t="str">
        <x:v>NET; BOUND; SETTLE</x:v>
      </x:c>
    </x:row>
    <x:row r="22" ht="90" customHeight="1">
      <x:c r="A22" s="64" t="str">
        <x:v>ExAnte</x:v>
      </x:c>
      <x:c r="B22" s="64" t="str">
        <x:v>L</x:v>
      </x:c>
      <x:c r="C22" s="64" t="str">
        <x:v>Q_low,t^EA</x:v>
      </x:c>
      <x:c r="D22" s="64" t="str">
        <x:v>t CO2e/period</x:v>
      </x:c>
      <x:c r="E22" s="64" t="str">
        <x:v>Conservative Q_low</x:v>
      </x:c>
      <x:c r="F22" s="64" t="str">
        <x:v>NET; BOUND; SETTLE</x:v>
      </x:c>
    </x:row>
    <x:row r="23" ht="90" customHeight="1">
      <x:c r="A23" s="64" t="str">
        <x:v>ExAnte</x:v>
      </x:c>
      <x:c r="B23" s="64" t="str">
        <x:v>M</x:v>
      </x:c>
      <x:c r="C23" s="64" t="str">
        <x:v>D_plan,t</x:v>
      </x:c>
      <x:c r="D23" s="64" t="str">
        <x:v>t CO2e</x:v>
      </x:c>
      <x:c r="E23" s="64" t="str">
        <x:v>Planned opening liability</x:v>
      </x:c>
      <x:c r="F23" s="64" t="str">
        <x:v>NET; BOUND; SETTLE</x:v>
      </x:c>
    </x:row>
    <x:row r="24" ht="90" customHeight="1">
      <x:c r="A24" s="64" t="str">
        <x:v>ExAnte</x:v>
      </x:c>
      <x:c r="B24" s="64" t="str">
        <x:v>N</x:v>
      </x:c>
      <x:c r="C24" s="64" t="str">
        <x:v>B_plan,t</x:v>
      </x:c>
      <x:c r="D24" s="64" t="str">
        <x:v>t CO2e</x:v>
      </x:c>
      <x:c r="E24" s="64" t="str">
        <x:v>Planned new reserve</x:v>
      </x:c>
      <x:c r="F24" s="64" t="str">
        <x:v>NET; BOUND; SETTLE</x:v>
      </x:c>
    </x:row>
    <x:row r="25" ht="90" customHeight="1">
      <x:c r="A25" s="64" t="str">
        <x:v>ExAnte</x:v>
      </x:c>
      <x:c r="B25" s="64" t="str">
        <x:v>O</x:v>
      </x:c>
      <x:c r="C25" s="64" t="str">
        <x:v>J_plan,t</x:v>
      </x:c>
      <x:c r="D25" s="64" t="str">
        <x:v>t CO2e</x:v>
      </x:c>
      <x:c r="E25" s="64" t="str">
        <x:v>Projected available mass</x:v>
      </x:c>
      <x:c r="F25" s="64" t="str">
        <x:v>NET; BOUND; SETTLE</x:v>
      </x:c>
    </x:row>
    <x:row r="26" ht="90" customHeight="1">
      <x:c r="A26" s="64" t="str">
        <x:v>ExPost</x:v>
      </x:c>
      <x:c r="B26" s="64" t="str">
        <x:v>F</x:v>
      </x:c>
      <x:c r="C26" s="64" t="str">
        <x:v>N_BL,t^EP</x:v>
      </x:c>
      <x:c r="D26" s="64" t="str">
        <x:v>t CO2e/period</x:v>
      </x:c>
      <x:c r="E26" s="64" t="str">
        <x:v>Baseline t CO2e</x:v>
      </x:c>
      <x:c r="F26" s="64" t="str">
        <x:v>NET; BOUND</x:v>
      </x:c>
    </x:row>
    <x:row r="27" ht="90" customHeight="1">
      <x:c r="A27" s="64" t="str">
        <x:v>ExPost</x:v>
      </x:c>
      <x:c r="B27" s="64" t="str">
        <x:v>G</x:v>
      </x:c>
      <x:c r="C27" s="64" t="str">
        <x:v>N_PJ,t^EP</x:v>
      </x:c>
      <x:c r="D27" s="64" t="str">
        <x:v>t CO2e/period</x:v>
      </x:c>
      <x:c r="E27" s="64" t="str">
        <x:v>Project t CO2e</x:v>
      </x:c>
      <x:c r="F27" s="64" t="str">
        <x:v>NET; BOUND</x:v>
      </x:c>
    </x:row>
    <x:row r="28" ht="90" customHeight="1">
      <x:c r="A28" s="64" t="str">
        <x:v>ExPost</x:v>
      </x:c>
      <x:c r="B28" s="64" t="str">
        <x:v>H</x:v>
      </x:c>
      <x:c r="C28" s="64" t="str">
        <x:v>L_t^EP</x:v>
      </x:c>
      <x:c r="D28" s="64" t="str">
        <x:v>t CO2e/period</x:v>
      </x:c>
      <x:c r="E28" s="64" t="str">
        <x:v>Leakage t CO2e</x:v>
      </x:c>
      <x:c r="F28" s="64" t="str">
        <x:v>NET; BOUND</x:v>
      </x:c>
    </x:row>
    <x:row r="29" ht="90" customHeight="1">
      <x:c r="A29" s="64" t="str">
        <x:v>ExPost</x:v>
      </x:c>
      <x:c r="B29" s="64" t="str">
        <x:v>I</x:v>
      </x:c>
      <x:c r="C29" s="64" t="str">
        <x:v>Q_hat,t^EP</x:v>
      </x:c>
      <x:c r="D29" s="64" t="str">
        <x:v>t CO2e/period</x:v>
      </x:c>
      <x:c r="E29" s="64" t="str">
        <x:v>Net result Q_hat</x:v>
      </x:c>
      <x:c r="F29" s="64" t="str">
        <x:v>NET; BOUND</x:v>
      </x:c>
    </x:row>
    <x:row r="30" ht="90" customHeight="1">
      <x:c r="A30" s="64" t="str">
        <x:v>ExPost</x:v>
      </x:c>
      <x:c r="B30" s="64" t="str">
        <x:v>K</x:v>
      </x:c>
      <x:c r="C30" s="64" t="str">
        <x:v>delta_t OR q_bound,t</x:v>
      </x:c>
      <x:c r="D30" s="64" t="str">
        <x:v>t CO2e/period</x:v>
      </x:c>
      <x:c r="E30" s="64" t="str">
        <x:v>Deduction or bound</x:v>
      </x:c>
      <x:c r="F30" s="64" t="str">
        <x:v>NET; BOUND</x:v>
      </x:c>
    </x:row>
    <x:row r="31" ht="90" customHeight="1">
      <x:c r="A31" s="64" t="str">
        <x:v>ExPost</x:v>
      </x:c>
      <x:c r="B31" s="64" t="str">
        <x:v>L</x:v>
      </x:c>
      <x:c r="C31" s="64" t="str">
        <x:v>Q_low,t^EP</x:v>
      </x:c>
      <x:c r="D31" s="64" t="str">
        <x:v>t CO2e/period</x:v>
      </x:c>
      <x:c r="E31" s="64" t="str">
        <x:v>Conservative Q_low</x:v>
      </x:c>
      <x:c r="F31" s="64" t="str">
        <x:v>NET; BOUND</x:v>
      </x:c>
    </x:row>
    <x:row r="32" ht="90" customHeight="1">
      <x:c r="A32" s="64" t="str">
        <x:v>Settlement</x:v>
      </x:c>
      <x:c r="B32" s="64" t="str">
        <x:v>B</x:v>
      </x:c>
      <x:c r="C32" s="64" t="str">
        <x:v>Q_low,t</x:v>
      </x:c>
      <x:c r="D32" s="64" t="str">
        <x:v>t CO2e</x:v>
      </x:c>
      <x:c r="E32" s="64" t="str">
        <x:v>Q_low</x:v>
      </x:c>
      <x:c r="F32" s="64" t="str">
        <x:v>SETTLE; RESERVE</x:v>
      </x:c>
    </x:row>
    <x:row r="33" ht="90" customHeight="1">
      <x:c r="A33" s="64" t="str">
        <x:v>Settlement</x:v>
      </x:c>
      <x:c r="B33" s="64" t="str">
        <x:v>C</x:v>
      </x:c>
      <x:c r="C33" s="64" t="str">
        <x:v>D_t</x:v>
      </x:c>
      <x:c r="D33" s="64" t="str">
        <x:v>t CO2e</x:v>
      </x:c>
      <x:c r="E33" s="64" t="str">
        <x:v>Opening liability D</x:v>
      </x:c>
      <x:c r="F33" s="64" t="str">
        <x:v>SETTLE; RESERVE</x:v>
      </x:c>
    </x:row>
    <x:row r="34" ht="90" customHeight="1">
      <x:c r="A34" s="64" t="str">
        <x:v>Settlement</x:v>
      </x:c>
      <x:c r="B34" s="64" t="str">
        <x:v>E</x:v>
      </x:c>
      <x:c r="C34" s="64" t="str">
        <x:v>Q_eligible,t</x:v>
      </x:c>
      <x:c r="D34" s="64" t="str">
        <x:v>t CO2e</x:v>
      </x:c>
      <x:c r="E34" s="64" t="str">
        <x:v>Eligible mass</x:v>
      </x:c>
      <x:c r="F34" s="64" t="str">
        <x:v>SETTLE; RESERVE</x:v>
      </x:c>
    </x:row>
    <x:row r="35" ht="90" customHeight="1">
      <x:c r="A35" s="64" t="str">
        <x:v>Settlement</x:v>
      </x:c>
      <x:c r="B35" s="64" t="str">
        <x:v>F</x:v>
      </x:c>
      <x:c r="C35" s="64" t="str">
        <x:v>D_cand,t</x:v>
      </x:c>
      <x:c r="D35" s="64" t="str">
        <x:v>t CO2e</x:v>
      </x:c>
      <x:c r="E35" s="64" t="str">
        <x:v>Candidate settlement</x:v>
      </x:c>
      <x:c r="F35" s="64" t="str">
        <x:v>SETTLE; RESERVE</x:v>
      </x:c>
    </x:row>
    <x:row r="36" ht="90" customHeight="1">
      <x:c r="A36" s="64" t="str">
        <x:v>Settlement</x:v>
      </x:c>
      <x:c r="B36" s="64" t="str">
        <x:v>G</x:v>
      </x:c>
      <x:c r="C36" s="64" t="str">
        <x:v>D_set,t [executed]</x:v>
      </x:c>
      <x:c r="D36" s="64" t="str">
        <x:v>t CO2e</x:v>
      </x:c>
      <x:c r="E36" s="64" t="str">
        <x:v>Executed settlement</x:v>
      </x:c>
      <x:c r="F36" s="64" t="str">
        <x:v>SETTLE; RESERVE</x:v>
      </x:c>
    </x:row>
    <x:row r="37" ht="90" customHeight="1">
      <x:c r="A37" s="64" t="str">
        <x:v>Settlement</x:v>
      </x:c>
      <x:c r="B37" s="64" t="str">
        <x:v>I</x:v>
      </x:c>
      <x:c r="C37" s="64" t="str">
        <x:v>D_rem,t</x:v>
      </x:c>
      <x:c r="D37" s="64" t="str">
        <x:v>t CO2e</x:v>
      </x:c>
      <x:c r="E37" s="64" t="str">
        <x:v>Remaining liability</x:v>
      </x:c>
      <x:c r="F37" s="64" t="str">
        <x:v>SETTLE; RESERVE</x:v>
      </x:c>
    </x:row>
    <x:row r="38" ht="90" customHeight="1">
      <x:c r="A38" s="64" t="str">
        <x:v>Settlement</x:v>
      </x:c>
      <x:c r="B38" s="64" t="str">
        <x:v>J</x:v>
      </x:c>
      <x:c r="C38" s="64" t="str">
        <x:v>B_t [new required]</x:v>
      </x:c>
      <x:c r="D38" s="64" t="str">
        <x:v>t CO2e</x:v>
      </x:c>
      <x:c r="E38" s="64" t="str">
        <x:v>Required new reserve</x:v>
      </x:c>
      <x:c r="F38" s="64" t="str">
        <x:v>SETTLE; RESERVE</x:v>
      </x:c>
    </x:row>
    <x:row r="39" ht="90" customHeight="1">
      <x:c r="A39" s="64" t="str">
        <x:v>Settlement</x:v>
      </x:c>
      <x:c r="B39" s="64" t="str">
        <x:v>K</x:v>
      </x:c>
      <x:c r="C39" s="64" t="str">
        <x:v>Q_base,cand,t</x:v>
      </x:c>
      <x:c r="D39" s="64" t="str">
        <x:v>t CO2e</x:v>
      </x:c>
      <x:c r="E39" s="64" t="str">
        <x:v>Candidate reserve base</x:v>
      </x:c>
      <x:c r="F39" s="64" t="str">
        <x:v>SETTLE; RESERVE</x:v>
      </x:c>
    </x:row>
    <x:row r="40" ht="90" customHeight="1">
      <x:c r="A40" s="64" t="str">
        <x:v>Settlement</x:v>
      </x:c>
      <x:c r="B40" s="64" t="str">
        <x:v>L</x:v>
      </x:c>
      <x:c r="C40" s="64" t="str">
        <x:v>J_cand,t</x:v>
      </x:c>
      <x:c r="D40" s="64" t="str">
        <x:v>t CO2e</x:v>
      </x:c>
      <x:c r="E40" s="64" t="str">
        <x:v>Candidate available mass J</x:v>
      </x:c>
      <x:c r="F40" s="64" t="str">
        <x:v>SETTLE; RESERVE</x:v>
      </x:c>
    </x:row>
    <x:row r="41" ht="90" customHeight="1">
      <x:c r="A41" s="64" t="str">
        <x:v>CarryForward</x:v>
      </x:c>
      <x:c r="B41" s="64" t="str">
        <x:v>B</x:v>
      </x:c>
      <x:c r="C41" s="64" t="str">
        <x:v>Q_low,t</x:v>
      </x:c>
      <x:c r="D41" s="64" t="str">
        <x:v>t CO2e</x:v>
      </x:c>
      <x:c r="E41" s="64" t="str">
        <x:v>Q_low</x:v>
      </x:c>
      <x:c r="F41" s="64" t="str">
        <x:v>CARRY</x:v>
      </x:c>
    </x:row>
    <x:row r="42" ht="90" customHeight="1">
      <x:c r="A42" s="64" t="str">
        <x:v>CarryForward</x:v>
      </x:c>
      <x:c r="B42" s="64" t="str">
        <x:v>C</x:v>
      </x:c>
      <x:c r="C42" s="64" t="str">
        <x:v>D_rem,t</x:v>
      </x:c>
      <x:c r="D42" s="64" t="str">
        <x:v>t CO2e</x:v>
      </x:c>
      <x:c r="E42" s="64" t="str">
        <x:v>Remaining liability</x:v>
      </x:c>
      <x:c r="F42" s="64" t="str">
        <x:v>CARRY</x:v>
      </x:c>
    </x:row>
    <x:row r="43" ht="90" customHeight="1">
      <x:c r="A43" s="64" t="str">
        <x:v>CarryForward</x:v>
      </x:c>
      <x:c r="B43" s="64" t="str">
        <x:v>D</x:v>
      </x:c>
      <x:c r="C43" s="64" t="str">
        <x:v>O_t</x:v>
      </x:c>
      <x:c r="D43" s="64" t="str">
        <x:v>t CO2e</x:v>
      </x:c>
      <x:c r="E43" s="64" t="str">
        <x:v>Previously charged overlap O</x:v>
      </x:c>
      <x:c r="F43" s="64" t="str">
        <x:v>CARRY</x:v>
      </x:c>
    </x:row>
    <x:row r="44" ht="90" customHeight="1">
      <x:c r="A44" s="64" t="str">
        <x:v>CarryForward</x:v>
      </x:c>
      <x:c r="B44" s="64" t="str">
        <x:v>F</x:v>
      </x:c>
      <x:c r="C44" s="64" t="str">
        <x:v>C_minus,t</x:v>
      </x:c>
      <x:c r="D44" s="64" t="str">
        <x:v>t CO2e</x:v>
      </x:c>
      <x:c r="E44" s="64" t="str">
        <x:v>Executed reserve cancellation</x:v>
      </x:c>
      <x:c r="F44" s="64" t="str">
        <x:v>CARRY</x:v>
      </x:c>
    </x:row>
    <x:row r="45" ht="90" customHeight="1">
      <x:c r="A45" s="64" t="str">
        <x:v>CarryForward</x:v>
      </x:c>
      <x:c r="B45" s="64" t="str">
        <x:v>H</x:v>
      </x:c>
      <x:c r="C45" s="64" t="str">
        <x:v>N_minus,t</x:v>
      </x:c>
      <x:c r="D45" s="64" t="str">
        <x:v>t CO2e</x:v>
      </x:c>
      <x:c r="E45" s="64" t="str">
        <x:v>Negative magnitude</x:v>
      </x:c>
      <x:c r="F45" s="64" t="str">
        <x:v>CARRY</x:v>
      </x:c>
    </x:row>
    <x:row r="46" ht="90" customHeight="1">
      <x:c r="A46" s="64" t="str">
        <x:v>CarryForward</x:v>
      </x:c>
      <x:c r="B46" s="64" t="str">
        <x:v>I</x:v>
      </x:c>
      <x:c r="C46" s="64" t="str">
        <x:v>DeltaD_minus,t</x:v>
      </x:c>
      <x:c r="D46" s="64" t="str">
        <x:v>t CO2e</x:v>
      </x:c>
      <x:c r="E46" s="64" t="str">
        <x:v>New liability</x:v>
      </x:c>
      <x:c r="F46" s="64" t="str">
        <x:v>CARRY</x:v>
      </x:c>
    </x:row>
    <x:row r="47" ht="90" customHeight="1">
      <x:c r="A47" s="64" t="str">
        <x:v>CarryForward</x:v>
      </x:c>
      <x:c r="B47" s="64" t="str">
        <x:v>J</x:v>
      </x:c>
      <x:c r="C47" s="64" t="str">
        <x:v>D_t+1</x:v>
      </x:c>
      <x:c r="D47" s="64" t="str">
        <x:v>t CO2e</x:v>
      </x:c>
      <x:c r="E47" s="64" t="str">
        <x:v>Closing liability</x:v>
      </x:c>
      <x:c r="F47" s="64" t="str">
        <x:v>CARRY</x:v>
      </x:c>
    </x:row>
    <x:row r="48" ht="90" customHeight="1">
      <x:c r="A48" s="64" t="str">
        <x:v>Results</x:v>
      </x:c>
      <x:c r="B48" s="64" t="str">
        <x:v>B</x:v>
      </x:c>
      <x:c r="C48" s="64" t="str">
        <x:v>Q_hat,t^EP</x:v>
      </x:c>
      <x:c r="D48" s="64" t="str">
        <x:v>t CO2e</x:v>
      </x:c>
      <x:c r="E48" s="64" t="str">
        <x:v>Reported net</x:v>
      </x:c>
      <x:c r="F48" s="64" t="str">
        <x:v>DENOM</x:v>
      </x:c>
    </x:row>
    <x:row r="49" ht="90" customHeight="1">
      <x:c r="A49" s="64" t="str">
        <x:v>Results</x:v>
      </x:c>
      <x:c r="B49" s="64" t="str">
        <x:v>C</x:v>
      </x:c>
      <x:c r="C49" s="64" t="str">
        <x:v>Q_low,t^EP</x:v>
      </x:c>
      <x:c r="D49" s="64" t="str">
        <x:v>t CO2e</x:v>
      </x:c>
      <x:c r="E49" s="64" t="str">
        <x:v>Q_low</x:v>
      </x:c>
      <x:c r="F49" s="64" t="str">
        <x:v>DENOM</x:v>
      </x:c>
    </x:row>
    <x:row r="50" ht="90" customHeight="1">
      <x:c r="A50" s="64" t="str">
        <x:v>Results</x:v>
      </x:c>
      <x:c r="B50" s="64" t="str">
        <x:v>D</x:v>
      </x:c>
      <x:c r="C50" s="64" t="str">
        <x:v>D_t+1</x:v>
      </x:c>
      <x:c r="D50" s="64" t="str">
        <x:v>t CO2e</x:v>
      </x:c>
      <x:c r="E50" s="64" t="str">
        <x:v>Liability carried</x:v>
      </x:c>
      <x:c r="F50" s="64" t="str">
        <x:v>DENOM</x:v>
      </x:c>
    </x:row>
    <x:row r="51" ht="90" customHeight="1">
      <x:c r="A51" s="64" t="str">
        <x:v>Results</x:v>
      </x:c>
      <x:c r="B51" s="64" t="str">
        <x:v>E</x:v>
      </x:c>
      <x:c r="C51" s="64" t="str">
        <x:v>B_t</x:v>
      </x:c>
      <x:c r="D51" s="64" t="str">
        <x:v>t CO2e</x:v>
      </x:c>
      <x:c r="E51" s="64" t="str">
        <x:v>New reserve candidate</x:v>
      </x:c>
      <x:c r="F51" s="64" t="str">
        <x:v>DENOM</x:v>
      </x:c>
    </x:row>
    <x:row r="52" ht="90" customHeight="1">
      <x:c r="A52" s="64" t="str">
        <x:v>Results</x:v>
      </x:c>
      <x:c r="B52" s="64" t="str">
        <x:v>F</x:v>
      </x:c>
      <x:c r="C52" s="64" t="str">
        <x:v>J_cand,t</x:v>
      </x:c>
      <x:c r="D52" s="64" t="str">
        <x:v>t CO2e</x:v>
      </x:c>
      <x:c r="E52" s="64" t="str">
        <x:v>Available mass candidate</x:v>
      </x:c>
      <x:c r="F52" s="64" t="str">
        <x:v>DENOM</x:v>
      </x:c>
    </x:row>
    <x:row r="53" ht="90" customHeight="1">
      <x:c r="A53" s="64" t="str">
        <x:v>Results</x:v>
      </x:c>
      <x:c r="B53" s="64" t="str">
        <x:v>G</x:v>
      </x:c>
      <x:c r="C53" s="64" t="str">
        <x:v>d_u</x:v>
      </x:c>
      <x:c r="D53" s="64" t="str">
        <x:v>t CO2e/NVEU</x:v>
      </x:c>
      <x:c r="E53" s="64" t="str">
        <x:v>Denomination d_u</x:v>
      </x:c>
      <x:c r="F53" s="64" t="str">
        <x:v>DENOM</x:v>
      </x:c>
    </x:row>
    <x:row r="54" ht="90" customHeight="1">
      <x:c r="A54" s="64" t="str">
        <x:v>Results</x:v>
      </x:c>
      <x:c r="B54" s="64" t="str">
        <x:v>H</x:v>
      </x:c>
      <x:c r="C54" s="64" t="str">
        <x:v>n_candidate,t</x:v>
      </x:c>
      <x:c r="D54" s="64" t="str">
        <x:v>NVEU</x:v>
      </x:c>
      <x:c r="E54" s="64" t="str">
        <x:v>Candidate NVEU count</x:v>
      </x:c>
      <x:c r="F54" s="64" t="str">
        <x:v>DENOM</x:v>
      </x:c>
    </x:row>
    <x:row r="55" ht="90" customHeight="1">
      <x:c r="A55" s="64" t="str">
        <x:v>Comparison</x:v>
      </x:c>
      <x:c r="B55" s="64" t="str">
        <x:v>D</x:v>
      </x:c>
      <x:c r="C55" s="64" t="str">
        <x:v>Q_hat,t^EA</x:v>
      </x:c>
      <x:c r="D55" s="64" t="str">
        <x:v>t CO2e</x:v>
      </x:c>
      <x:c r="E55" s="64" t="str">
        <x:v>Ex-ante net</x:v>
      </x:c>
      <x:c r="F55" s="64" t="str">
        <x:v>COMPARE</x:v>
      </x:c>
    </x:row>
    <x:row r="56" ht="90" customHeight="1">
      <x:c r="A56" s="64" t="str">
        <x:v>Comparison</x:v>
      </x:c>
      <x:c r="B56" s="64" t="str">
        <x:v>E</x:v>
      </x:c>
      <x:c r="C56" s="64" t="str">
        <x:v>Q_hat,t^EP</x:v>
      </x:c>
      <x:c r="D56" s="64" t="str">
        <x:v>t CO2e</x:v>
      </x:c>
      <x:c r="E56" s="64" t="str">
        <x:v>Ex-post net</x:v>
      </x:c>
      <x:c r="F56" s="64" t="str">
        <x:v>COMPARE</x:v>
      </x:c>
    </x:row>
    <x:row r="57" ht="90" customHeight="1">
      <x:c r="A57" s="64" t="str">
        <x:v>Comparison</x:v>
      </x:c>
      <x:c r="B57" s="64" t="str">
        <x:v>F</x:v>
      </x:c>
      <x:c r="C57" s="64" t="str">
        <x:v>DeltaQ_t</x:v>
      </x:c>
      <x:c r="D57" s="64" t="str">
        <x:v>t CO2e</x:v>
      </x:c>
      <x:c r="E57" s="64" t="str">
        <x:v>Net difference</x:v>
      </x:c>
      <x:c r="F57" s="64" t="str">
        <x:v>COMPARE</x:v>
      </x:c>
    </x:row>
    <x:row r="58" ht="90" customHeight="1">
      <x:c r="A58" s="64" t="str">
        <x:v>Comparison</x:v>
      </x:c>
      <x:c r="B58" s="64" t="str">
        <x:v>G</x:v>
      </x:c>
      <x:c r="C58" s="64" t="str">
        <x:v>DeltaN_BL,t</x:v>
      </x:c>
      <x:c r="D58" s="64" t="str">
        <x:v>t CO2e</x:v>
      </x:c>
      <x:c r="E58" s="64" t="str">
        <x:v>Baseline difference</x:v>
      </x:c>
      <x:c r="F58" s="64" t="str">
        <x:v>COMPARE</x:v>
      </x:c>
    </x:row>
    <x:row r="59" ht="90" customHeight="1">
      <x:c r="A59" s="64" t="str">
        <x:v>Comparison</x:v>
      </x:c>
      <x:c r="B59" s="64" t="str">
        <x:v>H</x:v>
      </x:c>
      <x:c r="C59" s="64" t="str">
        <x:v>DeltaN_PJ,t</x:v>
      </x:c>
      <x:c r="D59" s="64" t="str">
        <x:v>t CO2e</x:v>
      </x:c>
      <x:c r="E59" s="64" t="str">
        <x:v>Project difference</x:v>
      </x:c>
      <x:c r="F59" s="64" t="str">
        <x:v>COMPARE</x:v>
      </x:c>
    </x:row>
    <x:row r="60" ht="90" customHeight="1">
      <x:c r="A60" s="64" t="str">
        <x:v>Comparison</x:v>
      </x:c>
      <x:c r="B60" s="64" t="str">
        <x:v>I</x:v>
      </x:c>
      <x:c r="C60" s="64" t="str">
        <x:v>DeltaL_t</x:v>
      </x:c>
      <x:c r="D60" s="64" t="str">
        <x:v>t CO2e</x:v>
      </x:c>
      <x:c r="E60" s="64" t="str">
        <x:v>Leakage difference</x:v>
      </x:c>
      <x:c r="F60" s="64" t="str">
        <x:v>COMPARE</x:v>
      </x:c>
    </x:row>
    <x:row r="61" ht="90" customHeight="1">
      <x:c r="A61" s="64" t="str">
        <x:v>Comparison</x:v>
      </x:c>
      <x:c r="B61" s="64" t="str">
        <x:v>J</x:v>
      </x:c>
      <x:c r="C61" s="64" t="str">
        <x:v>r_comparison,t</x:v>
      </x:c>
      <x:c r="D61" s="64" t="str">
        <x:v>t CO2e</x:v>
      </x:c>
      <x:c r="E61" s="64" t="str">
        <x:v>Identity residual</x:v>
      </x:c>
      <x:c r="F61" s="64" t="str">
        <x:v>COMPARE</x:v>
      </x:c>
    </x:row>
    <x:row r="62" ht="90" customHeight="1">
      <x:c r="A62" s="64" t="str">
        <x:v>Migration</x:v>
      </x:c>
      <x:c r="B62" s="64" t="str">
        <x:v>E</x:v>
      </x:c>
      <x:c r="C62" s="64" t="str">
        <x:v>q_src</x:v>
      </x:c>
      <x:c r="D62" s="64" t="str">
        <x:v>matched unit</x:v>
      </x:c>
      <x:c r="E62" s="64" t="str">
        <x:v>Original record</x:v>
      </x:c>
      <x:c r="F62" s="64" t="str">
        <x:v>MIGRATION</x:v>
      </x:c>
    </x:row>
    <x:row r="63" ht="90" customHeight="1">
      <x:c r="A63" s="64" t="str">
        <x:v>Migration</x:v>
      </x:c>
      <x:c r="B63" s="64" t="str">
        <x:v>F</x:v>
      </x:c>
      <x:c r="C63" s="64" t="str">
        <x:v>q_harm</x:v>
      </x:c>
      <x:c r="D63" s="64" t="str">
        <x:v>matched unit</x:v>
      </x:c>
      <x:c r="E63" s="64" t="str">
        <x:v>Old method harmonized</x:v>
      </x:c>
      <x:c r="F63" s="64" t="str">
        <x:v>MIGRATION</x:v>
      </x:c>
    </x:row>
    <x:row r="64" ht="90" customHeight="1">
      <x:c r="A64" s="64" t="str">
        <x:v>Migration</x:v>
      </x:c>
      <x:c r="B64" s="64" t="str">
        <x:v>G</x:v>
      </x:c>
      <x:c r="C64" s="64" t="str">
        <x:v>q_NEB</x:v>
      </x:c>
      <x:c r="D64" s="64" t="str">
        <x:v>matched unit</x:v>
      </x:c>
      <x:c r="E64" s="64" t="str">
        <x:v>NEBIOT matched account</x:v>
      </x:c>
      <x:c r="F64" s="64" t="str">
        <x:v>MIGRATION</x:v>
      </x:c>
    </x:row>
    <x:row r="65" ht="90" customHeight="1">
      <x:c r="A65" s="64" t="str">
        <x:v>Migration</x:v>
      </x:c>
      <x:c r="B65" s="64" t="str">
        <x:v>H</x:v>
      </x:c>
      <x:c r="C65" s="64" t="str">
        <x:v>Deltaq_basis</x:v>
      </x:c>
      <x:c r="D65" s="64" t="str">
        <x:v>matched unit</x:v>
      </x:c>
      <x:c r="E65" s="64" t="str">
        <x:v>Basis adjustment</x:v>
      </x:c>
      <x:c r="F65" s="64" t="str">
        <x:v>MIGRATION</x:v>
      </x:c>
    </x:row>
    <x:row r="66" ht="90" customHeight="1">
      <x:c r="A66" s="64" t="str">
        <x:v>Migration</x:v>
      </x:c>
      <x:c r="B66" s="64" t="str">
        <x:v>I</x:v>
      </x:c>
      <x:c r="C66" s="64" t="str">
        <x:v>Deltaq_method</x:v>
      </x:c>
      <x:c r="D66" s="64" t="str">
        <x:v>matched unit</x:v>
      </x:c>
      <x:c r="E66" s="64" t="str">
        <x:v>Method difference</x:v>
      </x:c>
      <x:c r="F66" s="64" t="str">
        <x:v>MIGRATION</x:v>
      </x:c>
    </x:row>
    <x:row r="67" ht="90" customHeight="1">
      <x:c r="A67" s="64" t="str">
        <x:v>Migration</x:v>
      </x:c>
      <x:c r="B67" s="64" t="str">
        <x:v>J</x:v>
      </x:c>
      <x:c r="C67" s="64" t="str">
        <x:v>Deltaq_total</x:v>
      </x:c>
      <x:c r="D67" s="64" t="str">
        <x:v>matched unit</x:v>
      </x:c>
      <x:c r="E67" s="64" t="str">
        <x:v>Total difference</x:v>
      </x:c>
      <x:c r="F67" s="64" t="str">
        <x:v>MIGRATION</x:v>
      </x:c>
    </x:row>
    <x:row r="68" ht="90" customHeight="1">
      <x:c r="A68" s="64" t="str">
        <x:v>Migration</x:v>
      </x:c>
      <x:c r="B68" s="64" t="str">
        <x:v>K</x:v>
      </x:c>
      <x:c r="C68" s="64" t="str">
        <x:v>r_bridge</x:v>
      </x:c>
      <x:c r="D68" s="64" t="str">
        <x:v>matched unit</x:v>
      </x:c>
      <x:c r="E68" s="64" t="str">
        <x:v>Bridge residual</x:v>
      </x:c>
      <x:c r="F68" s="64" t="str">
        <x:v>MIGRATION</x:v>
      </x:c>
    </x:row>
    <x:row r="69" ht="90" customHeight="1">
      <x:c r="A69" s="64" t="str">
        <x:v>Allocation</x:v>
      </x:c>
      <x:c r="B69" s="64" t="str">
        <x:v>C</x:v>
      </x:c>
      <x:c r="C69" s="64" t="str">
        <x:v>w_t,m</x:v>
      </x:c>
      <x:c r="D69" s="64" t="str">
        <x:v>fraction</x:v>
      </x:c>
      <x:c r="E69" s="64" t="str">
        <x:v>Weight</x:v>
      </x:c>
      <x:c r="F69" s="64" t="str">
        <x:v>ALLOC</x:v>
      </x:c>
    </x:row>
    <x:row r="70" ht="90" customHeight="1">
      <x:c r="A70" s="64" t="str">
        <x:v>Allocation</x:v>
      </x:c>
      <x:c r="B70" s="64" t="str">
        <x:v>D</x:v>
      </x:c>
      <x:c r="C70" s="64" t="str">
        <x:v>Q_t</x:v>
      </x:c>
      <x:c r="D70" s="64" t="str">
        <x:v>t CO2e</x:v>
      </x:c>
      <x:c r="E70" s="64" t="str">
        <x:v>Parent net mass</x:v>
      </x:c>
      <x:c r="F70" s="64" t="str">
        <x:v>ALLOC</x:v>
      </x:c>
    </x:row>
    <x:row r="71" ht="90" customHeight="1">
      <x:c r="A71" s="64" t="str">
        <x:v>Allocation</x:v>
      </x:c>
      <x:c r="B71" s="64" t="str">
        <x:v>E</x:v>
      </x:c>
      <x:c r="C71" s="64" t="str">
        <x:v>Q_t,m</x:v>
      </x:c>
      <x:c r="D71" s="64" t="str">
        <x:v>t CO2e</x:v>
      </x:c>
      <x:c r="E71" s="64" t="str">
        <x:v>Allocated mass</x:v>
      </x:c>
      <x:c r="F71" s="64" t="str">
        <x:v>ALLOC</x:v>
      </x:c>
    </x:row>
    <x:row r="72" ht="90" customHeight="1">
      <x:c r="A72" s="64" t="str">
        <x:v>Allocation</x:v>
      </x:c>
      <x:c r="B72" s="64" t="str">
        <x:v>G</x:v>
      </x:c>
      <x:c r="C72" s="64" t="str">
        <x:v>sum_m w_t,m</x:v>
      </x:c>
      <x:c r="D72" s="64" t="str">
        <x:v>dimensionless</x:v>
      </x:c>
      <x:c r="E72" s="64" t="str">
        <x:v>Weight total</x:v>
      </x:c>
      <x:c r="F72" s="64" t="str">
        <x:v>ALLOC</x:v>
      </x:c>
    </x:row>
    <x:row r="73" ht="90" customHeight="1">
      <x:c r="A73" s="64" t="str">
        <x:v>Allocation</x:v>
      </x:c>
      <x:c r="B73" s="64" t="str">
        <x:v>H</x:v>
      </x:c>
      <x:c r="C73" s="64" t="str">
        <x:v>sum_m Q_t,m</x:v>
      </x:c>
      <x:c r="D73" s="64" t="str">
        <x:v>t CO2e</x:v>
      </x:c>
      <x:c r="E73" s="64" t="str">
        <x:v>Allocated total</x:v>
      </x:c>
      <x:c r="F73" s="64" t="str">
        <x:v>ALLOC</x:v>
      </x:c>
    </x:row>
    <x:row r="74" ht="90" customHeight="1">
      <x:c r="A74" s="64" t="str">
        <x:v>Allocation</x:v>
      </x:c>
      <x:c r="B74" s="64" t="str">
        <x:v>I</x:v>
      </x:c>
      <x:c r="C74" s="64" t="str">
        <x:v>r_allocation,t</x:v>
      </x:c>
      <x:c r="D74" s="64" t="str">
        <x:v>t CO2e</x:v>
      </x:c>
      <x:c r="E74" s="64" t="str">
        <x:v>Closure residual</x:v>
      </x:c>
      <x:c r="F74" s="64" t="str">
        <x:v>ALLOC</x:v>
      </x:c>
    </x:row>
    <x:row r="75" ht="90" customHeight="1">
      <x:c r="A75" s="64" t="str">
        <x:v>Checks</x:v>
      </x:c>
      <x:c r="B75" s="64" t="str">
        <x:v>B</x:v>
      </x:c>
      <x:c r="C75" s="64" t="str">
        <x:v>n_held OR state</x:v>
      </x:c>
      <x:c r="D75" s="64" t="str">
        <x:v>count or text</x:v>
      </x:c>
      <x:c r="E75" s="64" t="str">
        <x:v>Result</x:v>
      </x:c>
      <x:c r="F75" s="64" t="str">
        <x:v>DATA</x:v>
      </x:c>
    </x:row>
    <x:row r="76" ht="90" customHeight="1">
      <x:c r="A76" s="64" t="str">
        <x:v>Examples</x:v>
      </x:c>
      <x:c r="B76" s="64" t="str">
        <x:v>B</x:v>
      </x:c>
      <x:c r="C76" s="64" t="str">
        <x:v>x_1 [case-specific]</x:v>
      </x:c>
      <x:c r="D76" s="64" t="str">
        <x:v>see case</x:v>
      </x:c>
      <x:c r="E76" s="64" t="str">
        <x:v>Input 1</x:v>
      </x:c>
      <x:c r="F76" s="64" t="str">
        <x:v>DATA</x:v>
      </x:c>
    </x:row>
    <x:row r="77" ht="90" customHeight="1">
      <x:c r="A77" s="64" t="str">
        <x:v>Examples</x:v>
      </x:c>
      <x:c r="B77" s="64" t="str">
        <x:v>C</x:v>
      </x:c>
      <x:c r="C77" s="64" t="str">
        <x:v>x_2 [case-specific]</x:v>
      </x:c>
      <x:c r="D77" s="64" t="str">
        <x:v>see case</x:v>
      </x:c>
      <x:c r="E77" s="64" t="str">
        <x:v>Input 2</x:v>
      </x:c>
      <x:c r="F77" s="64" t="str">
        <x:v>DATA</x:v>
      </x:c>
    </x:row>
    <x:row r="78" ht="90" customHeight="1">
      <x:c r="A78" s="64" t="str">
        <x:v>Examples</x:v>
      </x:c>
      <x:c r="B78" s="64" t="str">
        <x:v>D</x:v>
      </x:c>
      <x:c r="C78" s="64" t="str">
        <x:v>x_3 [case-specific]</x:v>
      </x:c>
      <x:c r="D78" s="64" t="str">
        <x:v>see case</x:v>
      </x:c>
      <x:c r="E78" s="64" t="str">
        <x:v>Input 3</x:v>
      </x:c>
      <x:c r="F78" s="64" t="str">
        <x:v>DATA</x:v>
      </x:c>
    </x:row>
    <x:row r="79" ht="90" customHeight="1">
      <x:c r="A79" s="64" t="str">
        <x:v>Examples</x:v>
      </x:c>
      <x:c r="B79" s="64" t="str">
        <x:v>E</x:v>
      </x:c>
      <x:c r="C79" s="64" t="str">
        <x:v>y_calc</x:v>
      </x:c>
      <x:c r="D79" s="64" t="str">
        <x:v>see case</x:v>
      </x:c>
      <x:c r="E79" s="64" t="str">
        <x:v>Calculated</x:v>
      </x:c>
      <x:c r="F79" s="64" t="str">
        <x:v>DATA</x:v>
      </x:c>
    </x:row>
    <x:row r="80" ht="90" customHeight="1">
      <x:c r="A80" s="64" t="str">
        <x:v>Examples</x:v>
      </x:c>
      <x:c r="B80" s="64" t="str">
        <x:v>F</x:v>
      </x:c>
      <x:c r="C80" s="64" t="str">
        <x:v>y_expected</x:v>
      </x:c>
      <x:c r="D80" s="64" t="str">
        <x:v>see case</x:v>
      </x:c>
      <x:c r="E80" s="64" t="str">
        <x:v>Expected</x:v>
      </x:c>
      <x:c r="F80" s="64" t="str">
        <x:v>DATA</x:v>
      </x:c>
    </x:row>
    <x:row r="81" ht="90" customHeight="1">
      <x:c r="A81" s="64" t="str">
        <x:v>Examples</x:v>
      </x:c>
      <x:c r="B81" s="64" t="str">
        <x:v>G</x:v>
      </x:c>
      <x:c r="C81" s="64" t="str">
        <x:v>y_calc - y_expected</x:v>
      </x:c>
      <x:c r="D81" s="64" t="str">
        <x:v>same as result</x:v>
      </x:c>
      <x:c r="E81" s="64" t="str">
        <x:v>Residual</x:v>
      </x:c>
      <x:c r="F81" s="64" t="str">
        <x:v>DATA</x:v>
      </x:c>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sheetData>
  <x:mergeCells>
    <x:mergeCell ref="A1:F1"/>
    <x:mergeCell ref="A2:F3"/>
  </x:mergeCells>
  <x:pageMargins left="0.7" right="0.7" top="0.75" bottom="0.75" header="0.3" footer="0.3"/>
</x:worksheet>
</file>

<file path=xl/worksheets/sheet19.xml><?xml version="1.0" encoding="utf-8"?>
<x:worksheet xmlns:x="http://schemas.openxmlformats.org/spreadsheetml/2006/main">
  <x:sheetFormatPr defaultRowHeight="15"/>
  <x:cols>
    <x:col min="1" max="1" width="17" hidden="0" customWidth="1"/>
    <x:col min="2" max="2" width="40" hidden="0" customWidth="1"/>
    <x:col min="3" max="3" width="40" hidden="0" customWidth="1"/>
    <x:col min="4" max="4" width="24" hidden="0" customWidth="1"/>
    <x:col min="5" max="5" width="36" hidden="0" customWidth="1"/>
  </x:cols>
  <x:sheetData>
    <x:row r="1" ht="32" customHeight="1">
      <x:c r="A1" s="57" t="str">
        <x:v>Mathematical notation and scope</x:v>
      </x:c>
      <x:c r="B1" s="57"/>
      <x:c r="C1" s="57"/>
      <x:c r="D1" s="57"/>
      <x:c r="E1" s="57"/>
    </x:row>
    <x:row r="2" ht="26" customHeight="1">
      <x:c r="A2" s="59" t="str">
        <x:v>Expressions are recorded in portable LaTeX notation; the Word and PDF reports display the same notation as native equations. Conditional gates remain in the executable cell formulas.</x:v>
      </x:c>
      <x:c r="B2" s="59"/>
      <x:c r="C2" s="59"/>
      <x:c r="D2" s="59"/>
      <x:c r="E2" s="59"/>
    </x:row>
    <x:row r="3" ht="26" customHeight="1">
      <x:c r="A3" s="59"/>
      <x:c r="B3" s="59"/>
      <x:c r="C3" s="59"/>
      <x:c r="D3" s="59"/>
      <x:c r="E3" s="59"/>
    </x:row>
    <x:row r="5" ht="35" customHeight="1">
      <x:c r="A5" s="61" t="str">
        <x:v>Key</x:v>
      </x:c>
      <x:c r="B5" s="61" t="str">
        <x:v>Mathematical expression</x:v>
      </x:c>
      <x:c r="C5" s="61" t="str">
        <x:v>Interpretation</x:v>
      </x:c>
      <x:c r="D5" s="61" t="str">
        <x:v>Basis</x:v>
      </x:c>
      <x:c r="E5" s="61" t="str">
        <x:v>Workbook</x:v>
      </x:c>
    </x:row>
    <x:row r="6" ht="128" customHeight="1">
      <x:c r="A6" s="64" t="str">
        <x:v>DATA</x:v>
      </x:c>
      <x:c r="B6" s="64" t="str">
        <x:v>x_{\ell}\;[u_{\ell}]</x:v>
      </x:c>
      <x:c r="C6" s="64" t="str">
        <x:v>x_l is the identified observation, input, or output; u_l is its declared unit. Record the exact equation and source file, worksheet, cell/range, period, and status. This notation does not prescribe an estimator.</x:v>
      </x:c>
      <x:c r="D6" s="64" t="str">
        <x:v>F-01; T-01</x:v>
      </x:c>
      <x:c r="E6" s="64" t="str">
        <x:v>Evidence!A:J; Components!F:L</x:v>
      </x:c>
    </x:row>
    <x:row r="7" ht="128" customHeight="1">
      <x:c r="A7" s="64" t="str">
        <x:v>AREA</x:v>
      </x:c>
      <x:c r="B7" s="64" t="str">
        <x:v>A_{i,t}=\frac{n_{i,t}a_{\mathrm{cell}}}{k_A},\qquad k_A=10^4\ \mathrm{m^2\,ha^{-1}}</x:v>
      </x:c>
      <x:c r="C7" s="64" t="str">
        <x:v>n is a pixel count; a_cell is pixel area in m2; A is area in ha. The PIXELS route uses the displayed geometric conversion. Direct area is a documented input. Net class change is not gross deforestation.</x:v>
      </x:c>
      <x:c r="D7" s="64" t="str">
        <x:v>M01; MIG-13; MIG-14</x:v>
      </x:c>
      <x:c r="E7" s="64" t="str">
        <x:v>Spatial!F:I; Profile!B15</x:v>
      </x:c>
    </x:row>
    <x:row r="8" ht="128" customHeight="1">
      <x:c r="A8" s="64" t="str">
        <x:v>AREA_CHANGE</x:v>
      </x:c>
      <x:c r="B8" s="64" t="str">
        <x:v>\Delta A_i=A_i(t_1)-A_i(t_0),\qquad \bar a_i=\frac{\Delta A_i}{t_1-t_0}</x:v>
      </x:c>
      <x:c r="C8" s="64" t="str">
        <x:v>The difference is a signed net class-area change, not a gross transition matrix. The average is an allocation over the stated duration, not an annual observation. A gross transition needs its own measured or modeled origin/destination evidence.</x:v>
      </x:c>
      <x:c r="D8" s="64" t="str">
        <x:v>M01; MIG-14; reporting identity</x:v>
      </x:c>
      <x:c r="E8" s="64" t="str">
        <x:v>Spatial!I:J; Allocation!C:I</x:v>
      </x:c>
    </x:row>
    <x:row r="9" ht="128" customHeight="1">
      <x:c r="A9" s="64" t="str">
        <x:v>SAMPLE</x:v>
      </x:c>
      <x:c r="B9" s="64" t="str">
        <x:v>W_i=\frac{A_i}{A},\quad \widehat p_{ij}=\frac{n_{ij}}{n_i},\quad \widehat A_j=A\sum_i W_i\widehat p_{ij}</x:v>
      </x:c>
      <x:c r="C9" s="64" t="str">
        <x:v>Use the sampling design and domain required by M01.4. W_i is the mapped stratum weight, not an estimated weight by default; n_ij and n_i are reference counts. This upstream estimator is not fitted by the account workbook.</x:v>
      </x:c>
      <x:c r="D9" s="64" t="str">
        <x:v>M01.4; M01.5; T-03</x:v>
      </x:c>
      <x:c r="E9" s="64" t="str">
        <x:v>Evidence!G; Spatial!I; qualified upstream calculation</x:v>
      </x:c>
    </x:row>
    <x:row r="10" ht="128" customHeight="1">
      <x:c r="A10" s="64" t="str">
        <x:v>MATERIAL</x:v>
      </x:c>
      <x:c r="B10" s="64" t="str">
        <x:v>C_j=10^{-3}\sum_o V_{jo}\rho^b_{jo}f^C_{jo} ; c_p=\frac{\sum_{j\in p}C_j+C_{p,\mathrm{other}}}{a_p}</x:v>
      </x:c>
      <x:c r="C10" s="64" t="str">
        <x:v>V is green material volume in m3; rho_b is oven-dry kg per green m3; f_C is dry-mass carbon fraction. C_j is Mg C; c_p is Mg C/ha. The plot denominator a_p is in ha. Pools must be disjoint and moisture conventions matched.</x:v>
      </x:c>
      <x:c r="D10" s="64" t="str">
        <x:v>M02.1; M02.2; F-M01</x:v>
      </x:c>
      <x:c r="E10" s="64" t="str">
        <x:v>Evidence!G; Factors!D:G; upstream organ and plot records</x:v>
      </x:c>
    </x:row>
    <x:row r="11" ht="128" customHeight="1">
      <x:c r="A11" s="64" t="str">
        <x:v>FACTOR</x:v>
      </x:c>
      <x:c r="B11" s="64" t="str">
        <x:v>c_i=b_i f_i^C,\qquad e_i^{\mathrm{stock}}=\frac{44}{12}c_i</x:v>
      </x:c>
      <x:c r="C11" s="64" t="str">
        <x:v>b is dry biomass density in Mg/ha; c is carbon density in Mg C/ha. Apply the fraction only to BIOMASS, not to a CARBON band. e_stock is a CO2 mass equivalent of the stock, not an annual emission or credit. An already characterized CO2E input requires its own gas scope.</x:v>
      </x:c>
      <x:c r="D11" s="64" t="str">
        <x:v>M02; M04.2; F-C02</x:v>
      </x:c>
      <x:c r="E11" s="64" t="str">
        <x:v>Factors!C:G; Profile!B16</x:v>
      </x:c>
    </x:row>
    <x:row r="12" ht="128" customHeight="1">
      <x:c r="A12" s="64" t="str">
        <x:v>COMP</x:v>
      </x:c>
      <x:c r="B12" s="64" t="str">
        <x:v>q_{\ell,s,t}=x_{\ell,s,t}f_{\ell,s,t} ; N_{s,t}=\sum_{\ell\in\mathcal I_{s,t}}q_{\ell,s,t}</x:v>
      </x:c>
      <x:c r="C12" s="64" t="str">
        <x:v>x and f have reciprocal units yielding t CO2e per period. I is the set of included, evidenced, disjoint components for the same basis, period and account. For precomputed mass, f=1 must be explicitly entered with its meaning. BL and PJ are net emissions; LK is attributable leakage.</x:v>
      </x:c>
      <x:c r="D12" s="64" t="str">
        <x:v>M04.4; M04.5; T-08; arithmetic implementation</x:v>
      </x:c>
      <x:c r="E12" s="64" t="str">
        <x:v>Components!G:I; ExAnte!F:H; ExPost!F:H</x:v>
      </x:c>
    </x:row>
    <x:row r="13" ht="128" customHeight="1">
      <x:c r="A13" s="64" t="str">
        <x:v>BASELINE</x:v>
      </x:c>
      <x:c r="B13" s="64" t="str">
        <x:v>N_{\mathrm{BL},t}=\sum_{\ell\in\mathcal I_{\mathrm{BL},t}}q_{\ell,\mathrm{BL},t}</x:v>
      </x:c>
      <x:c r="C13" s="64" t="str">
        <x:v>Baseline inputs belong to the approved counterfactual and matched period. Do not enter a subtotal that already deducts project emissions as N_BL and deduct those emissions again. Define each driver, pool, and gas and keep the original cell expression.</x:v>
      </x:c>
      <x:c r="D13" s="64" t="str">
        <x:v>M04.4; M04.5; P-13</x:v>
      </x:c>
      <x:c r="E13" s="64" t="str">
        <x:v>Components!D=BL; ExAnte!F; ExPost!F</x:v>
      </x:c>
    </x:row>
    <x:row r="14" ht="128" customHeight="1">
      <x:c r="A14" s="64" t="str">
        <x:v>PROJECT</x:v>
      </x:c>
      <x:c r="B14" s="64" t="str">
        <x:v>P_t^{\mathrm{exante}}=(1-\eta_t)B_t^{\mathrm{land}}+I_t^{\mathrm{impl}}</x:v>
      </x:c>
      <x:c r="C14" s="64" t="str">
        <x:v>eta is the avoided fraction, 0 to 1; B_land is nonnegative baseline land-release mass; I_impl is additional implementation emissions not already in the residual. Use only where this F-P02 definition applies. Ex-post uses monitored inputs and supported conversions, not an assumed effectiveness.</x:v>
      </x:c>
      <x:c r="D14" s="64" t="str">
        <x:v>F-P02; M04.4</x:v>
      </x:c>
      <x:c r="E14" s="64" t="str">
        <x:v>Qualified upstream scenario; Components!D=PJ; ExAnte!G</x:v>
      </x:c>
    </x:row>
    <x:row r="15" ht="128" customHeight="1">
      <x:c r="A15" s="64" t="str">
        <x:v>GASES</x:v>
      </x:c>
      <x:c r="B15" s="64" t="str">
        <x:v>N_{s,t}=E_{\mathrm{CO_2},s,t}-R_{\mathrm{CO_2},s,t}+\sum_{g\ne\mathrm{CO_2}}\mathrm{GWP}_gE_{g,s,t}</x:v>
      </x:c>
      <x:c r="C15" s="64" t="str">
        <x:v>s is BL or PJ; E is emissions and R is CO2 removals. Record gas-specific masses and the adopted characterization source and horizon. Do not characterize an already characterized CO2e quantity again. The workbook imports these qualified component calculations.</x:v>
      </x:c>
      <x:c r="D15" s="64" t="str">
        <x:v>M04.4; AP-07</x:v>
      </x:c>
      <x:c r="E15" s="64" t="str">
        <x:v>Components!F:L; Profile!B17</x:v>
      </x:c>
    </x:row>
    <x:row r="16" ht="128" customHeight="1">
      <x:c r="A16" s="64" t="str">
        <x:v>LEAKAGE</x:v>
      </x:c>
      <x:c r="B16" s="64" t="str">
        <x:v>\widehat L_t=N_{\mathrm{PLKA,with},t}-N_{\mathrm{PLKA,without},t}</x:v>
      </x:c>
      <x:c r="C16" s="64" t="str">
        <x:v>The two accounts have matched geography, activities, gases and intervals. Any source ratio remains an explicit numerator/denominator, not an assumed percentage. A signed diagnostic does not automatically authorize an extra benefit; the applicable attribution profile governs.</x:v>
      </x:c>
      <x:c r="D16" s="64" t="str">
        <x:v>F-L01; T-08</x:v>
      </x:c>
      <x:c r="E16" s="64" t="str">
        <x:v>Components!D=LK; ExAnte!H; ExPost!H</x:v>
      </x:c>
    </x:row>
    <x:row r="17" ht="128" customHeight="1">
      <x:c r="A17" s="64" t="str">
        <x:v>COHORT</x:v>
      </x:c>
      <x:c r="B17" s="64" t="str">
        <x:v>E^{\mathrm{CO_2}}_{i,t}=\frac{44}{12}\sum_{\tau\le t}\sum_o A_{i,\tau}\ell_{io,\tau}k_{io,\tau}(t)</x:v>
      </x:c>
      <x:c r="C17" s="64" t="str">
        <x:v>A is newly affected ha, ell is allocated Mg C/ha, and k is the fraction released as CO2 in interval t. The sum of fractions cannot exceed its defined allocation. Cohorts and pools are disjoint; keep remaining material and pre-period cohorts. Use exact intervals.</x:v>
      </x:c>
      <x:c r="D17" s="64" t="str">
        <x:v>M04.2; F-C03a; F-C03b; F-C04</x:v>
      </x:c>
      <x:c r="E17" s="64" t="str">
        <x:v>Upstream cohort schedule; Components!F:L</x:v>
      </x:c>
    </x:row>
    <x:row r="18" ht="128" customHeight="1">
      <x:c r="A18" s="64" t="str">
        <x:v>NET</x:v>
      </x:c>
      <x:c r="B18" s="64" t="str">
        <x:v>\widehat Q_t^z=N_{\mathrm{BL},t}^z-N_{\mathrm{PJ},t}^z-L_t^z,\qquad z\in\{\mathrm{EA},\mathrm{EP}\}</x:v>
      </x:c>
      <x:c r="C18" s="64" t="str">
        <x:v>EA denotes the dated forecast; EP denotes the reporting-period account, not automatic verification. All terms are signed period masses on matched support. The quantity is before uncertainty, previous liabilities, reserve, and denomination.</x:v>
      </x:c>
      <x:c r="D18" s="64" t="str">
        <x:v>M04.5; F-R01</x:v>
      </x:c>
      <x:c r="E18" s="64" t="str">
        <x:v>ExAnte!F:I; ExPost!F:I</x:v>
      </x:c>
    </x:row>
    <x:row r="19" ht="128" customHeight="1">
      <x:c r="A19" s="64" t="str">
        <x:v>BOUND</x:v>
      </x:c>
      <x:c r="B19" s="64" t="str">
        <x:v>Q_t^{\mathrm{low}}=\widehat Q_t-k_{1-\alpha}u_{Q_t} ; Q_t^{\mathrm{low}}=\widehat Q_t-\delta_t\quad(\mathrm{DEDUCTION});\qquad Q_t^{\mathrm{low}}=q_t^{\mathrm{bound}}\quad(\mathrm{BOUND})</x:v>
      </x:c>
      <x:c r="C19" s="64" t="str">
        <x:v>delta is the justified deduction (DEDUCTION route); BOUND supplies the supported lower value directly. The second displayed line describes the workbook interface, not a new approved estimator. Record the upstream uncertainty or evidence-bound procedure and decision.</x:v>
      </x:c>
      <x:c r="D19" s="64" t="str">
        <x:v>M05.3; F-A02; AP-08</x:v>
      </x:c>
      <x:c r="E19" s="64" t="str">
        <x:v>ExAnte!J:L; ExPost!J:L; ExPost!O</x:v>
      </x:c>
    </x:row>
    <x:row r="20" ht="128" customHeight="1">
      <x:c r="A20" s="64" t="str">
        <x:v>UNC</x:v>
      </x:c>
      <x:c r="B20" s="64" t="str">
        <x:v>u_Q^2=u_B^2+u_P^2+u_L^2-2\operatorname{Cov}(B,P)-2\operatorname{Cov}(B,L)+2\operatorname{Cov}(P,L)</x:v>
      </x:c>
      <x:c r="C20" s="64" t="str">
        <x:v>B, P and L in this variance identity denote baseline, project and leakage estimators, not reserve B_t. Standard uncertainties are in t CO2e; variances and covariances are squared units. Retain shared-source dependence and a valid covariance matrix.</x:v>
      </x:c>
      <x:c r="D20" s="64" t="str">
        <x:v>F-U01; M05.1; M05.2</x:v>
      </x:c>
      <x:c r="E20" s="64" t="str">
        <x:v>Qualified uncertainty calculation; ExAnte!J:L; ExPost!J:L</x:v>
      </x:c>
    </x:row>
    <x:row r="21" ht="128" customHeight="1">
      <x:c r="A21" s="64" t="str">
        <x:v>SETTLE</x:v>
      </x:c>
      <x:c r="B21" s="64" t="str">
        <x:v>Q_t^{\mathrm{eligible}}=\max(0,Q_t^{\mathrm{low}}),\quad D_t^{\mathrm{cand}}=\min(D_t,Q_t^{\mathrm{eligible}}) ; Q_t^{\mathrm{base,cand}}=Q_t^{\mathrm{eligible}}-D_t^{\mathrm{cand}},\quad J_t^{\mathrm{cand}}=Q_t^{\mathrm{base,cand}}-B_t</x:v>
      </x:c>
      <x:c r="C21" s="64" t="str">
        <x:v>cand distinguishes a worksheet proposal from an executed posting. D_set is actual evidenced settlement; D_rem = D - D_set. Do not reduce posted liability by D_cand. A larger required reserve than the candidate base is a shortfall, not funded protection. No rounding is implied.</x:v>
      </x:c>
      <x:c r="D21" s="64" t="str">
        <x:v>M05.4; M05.5; F-R03</x:v>
      </x:c>
      <x:c r="E21" s="64" t="str">
        <x:v>Settlement!B:L; ExAnte!M:O (forecast only)</x:v>
      </x:c>
    </x:row>
    <x:row r="22" ht="128" customHeight="1">
      <x:c r="A22" s="64" t="str">
        <x:v>RESERVE</x:v>
      </x:c>
      <x:c r="B22" s="64" t="str">
        <x:v>B^{\mathrm{req}}=\inf\{\ell:\Pr(L_H\le\ell\mid\mathcal D_v)\ge\gamma\} ; B^{\mathrm{add}}=\max(0,B^{\mathrm{req}}-B^{\mathrm{avail}})</x:v>
      </x:c>
      <x:c r="C22" s="64" t="str">
        <x:v>This is conditional F-A04, not a default probability model. Record the adopted horizon, protection level and loss distribution, or the separately justified stress route. Distinguish total required protection, available compatible reserve and new contribution. No rate is prefilled.</x:v>
      </x:c>
      <x:c r="D22" s="64" t="str">
        <x:v>F-A04; F-A05; T-17–T-20; AP-09</x:v>
      </x:c>
      <x:c r="E22" s="64" t="str">
        <x:v>Qualified risk schedule; Settlement!J; FRM-09</x:v>
      </x:c>
    </x:row>
    <x:row r="23" ht="128" customHeight="1">
      <x:c r="A23" s="64" t="str">
        <x:v>CARRY</x:v>
      </x:c>
      <x:c r="B23" s="64" t="str">
        <x:v>N_t^-=\max(0,-Q_t^{\mathrm{low}}),\quad \Delta D_t^-=N_t^- -O_t-C_t^- ; D_{t+1}=D_t^{\mathrm{rem}}+\Delta D_t^-</x:v>
      </x:c>
      <x:c r="C23" s="64" t="str">
        <x:v>FULL_BOUND only when expressly adopted. O is a documented previously recognized portion of the same deficit; C_minus is executed reserve cancellation for a disjoint portion. Require O+C_minus &lt;= N_minus. A negative uncertainty bound is not automatically a physical reversal.</x:v>
      </x:c>
      <x:c r="D23" s="64" t="str">
        <x:v>F-R05a; F-R05b; F-03</x:v>
      </x:c>
      <x:c r="E23" s="64" t="str">
        <x:v>CarryForward!B:J; Settlement!I</x:v>
      </x:c>
    </x:row>
    <x:row r="24" ht="128" customHeight="1">
      <x:c r="A24" s="64" t="str">
        <x:v>DENOM</x:v>
      </x:c>
      <x:c r="B24" s="64" t="str">
        <x:v>n_t^{\mathrm{candidate}}=\frac{J_t^{\mathrm{cand}}}{d_u},\qquad d_u&gt;0,\quad J_t^{\mathrm{cand}}\ge0</x:v>
      </x:c>
      <x:c r="C24" s="64" t="str">
        <x:v>d_u is t CO2e per NVEU of the specified category. The quotient is a candidate count, not issuance or an equivalence with other external carbon units. No value for d_u or whole-unit rule is assumed. Missing category authorization blocks the unit count.</x:v>
      </x:c>
      <x:c r="D24" s="64" t="str">
        <x:v>F-R04; U-01</x:v>
      </x:c>
      <x:c r="E24" s="64" t="str">
        <x:v>Results!F:H; Profile!B7:B10</x:v>
      </x:c>
    </x:row>
    <x:row r="25" ht="128" customHeight="1">
      <x:c r="A25" s="64" t="str">
        <x:v>COMPARE</x:v>
      </x:c>
      <x:c r="B25" s="64" t="str">
        <x:v>\Delta Q_t=Q_t^{\mathrm{EP}}-Q_t^{\mathrm{EA}} ; \Delta Q_t=\Delta N_{\mathrm{BL},t}-\Delta N_{\mathrm{PJ},t}-\Delta L_t</x:v>
      </x:c>
      <x:c r="C25" s="64" t="str">
        <x:v>All deltas are EP minus the frozen EA value on the same support before uncertainty and reserve. r = deltaQ - (deltaBL - deltaPJ - deltaL) is an arithmetic residual. A forecast difference is not itself mitigation, causation, or a materiality finding.</x:v>
      </x:c>
      <x:c r="D25" s="64" t="str">
        <x:v>M04.5; P-13; comparison identity</x:v>
      </x:c>
      <x:c r="E25" s="64" t="str">
        <x:v>Comparison!D:J</x:v>
      </x:c>
    </x:row>
    <x:row r="26" ht="128" customHeight="1">
      <x:c r="A26" s="64" t="str">
        <x:v>MIGRATION</x:v>
      </x:c>
      <x:c r="B26" s="64" t="str">
        <x:v>\Delta q_{\mathrm{basis}}=q^{\mathrm{harm}}-q^{\mathrm{src}},\quad \Delta q_{\mathrm{method}}=q^{\mathrm{NEB}}-q^{\mathrm{harm}} ; q^{\mathrm{NEB}}-q^{\mathrm{src}}=\Delta q_{\mathrm{basis}}+\Delta q_{\mathrm{method}}</x:v>
      </x:c>
      <x:c r="C26" s="64" t="str">
        <x:v>src retains the original result; harm is the original method on the agreed comparable basis; NEB is the receiving-method result on that basis. This telescoping identity explains differences, not eligibility. Do not force the methodological difference to zero.</x:v>
      </x:c>
      <x:c r="D26" s="64" t="str">
        <x:v>MIG-05; P-13; reconciliation identity</x:v>
      </x:c>
      <x:c r="E26" s="64" t="str">
        <x:v>Migration!E:K</x:v>
      </x:c>
    </x:row>
    <x:row r="27" ht="128" customHeight="1">
      <x:c r="A27" s="64" t="str">
        <x:v>ALLOC</x:v>
      </x:c>
      <x:c r="B27" s="64" t="str">
        <x:v>Q_{t,m}=w_{t,m}Q_t,\quad w_{t,m}\ge0,\quad \sum_m w_{t,m}=1 ; r_t^{\mathrm{alloc}}=\sum_m Q_{t,m}-Q_t</x:v>
      </x:c>
      <x:c r="C27" s="64" t="str">
        <x:v>m is a child reporting interval, not automatically a measured month. The same parent and basis must be used for all weights. Do not add a parent total to its allocated children. Retain negative signs and explain unequal-duration allocations.</x:v>
      </x:c>
      <x:c r="D27" s="64" t="str">
        <x:v>F-R01; allocation identity</x:v>
      </x:c>
      <x:c r="E27" s="64" t="str">
        <x:v>Allocation!C:I</x:v>
      </x:c>
    </x:row>
    <x:row r="28" ht="128" customHeight="1">
      <x:c r="A28" s="64" t="str">
        <x:v>OTHER</x:v>
      </x:c>
      <x:c r="B28" s="64" t="str">
        <x:v>\Delta x_{r,t}^{\mathrm{add}}=(x_{r,\mathrm{PJ},t_1}-x_{r,\mathrm{PJ},t_0})-(x_{r,\mathrm{BL},t_1}-x_{r,\mathrm{BL},t_0})</x:v>
      </x:c>
      <x:c r="C28" s="64" t="str">
        <x:v>r identifies one environmental or social indicator with its own unit u_r. This is the candidate estimand in M06.1, not an approved conversion to carbon or NVEU. Report different attributes separately; specify the protocol and observation support.</x:v>
      </x:c>
      <x:c r="D28" s="64" t="str">
        <x:v>M06.1; T-10</x:v>
      </x:c>
      <x:c r="E28" s="64" t="str">
        <x:v>Separate indicator schedule; Evidence!G</x:v>
      </x:c>
    </x:row>
    <x:row r="29" ht="128" customHeight="1">
      <x:c r="A29" s="64" t="str">
        <x:v>BUDGET</x:v>
      </x:c>
      <x:c r="B29" s="64" t="str">
        <x:v>c_{j,t}\;[u_c]</x:v>
      </x:c>
      <x:c r="C29" s="64" t="str">
        <x:v>c is the recorded cost or resource amount in the explicitly identified currency and price date. Enter the actual budgeting equation and its data source if calculated. This label supplies no price, discount rate, financial formula, or emission factor.</x:v>
      </x:c>
      <x:c r="D29" s="64" t="str">
        <x:v>CYC-03; CYC-04; CYC-05; data label</x:v>
      </x:c>
      <x:c r="E29" s="64" t="str">
        <x:v>Project budget attachment; Evidence!G</x:v>
      </x:c>
    </x:row>
  </x:sheetData>
  <x:mergeCells>
    <x:mergeCell ref="A1:E1"/>
    <x:mergeCell ref="A2:E3"/>
  </x:mergeCells>
  <x:pageMargins left="0.7" right="0.7" top="0.75" bottom="0.75" header="0.3" footer="0.3"/>
</x:worksheet>
</file>

<file path=xl/worksheets/sheet20.xml><?xml version="1.0" encoding="utf-8"?>
<x:worksheet xmlns:x="http://schemas.openxmlformats.org/spreadsheetml/2006/main">
  <x:sheetFormatPr defaultRowHeight="15"/>
  <x:cols>
    <x:col min="1" max="1" width="13" hidden="0" customWidth="1"/>
    <x:col min="2" max="2" width="13" hidden="0" customWidth="1"/>
    <x:col min="3" max="3" width="24" hidden="0" customWidth="1"/>
    <x:col min="4" max="4" width="15" hidden="0" customWidth="1"/>
    <x:col min="5" max="5" width="25" hidden="0" customWidth="1"/>
    <x:col min="6" max="6" width="24" hidden="0" customWidth="1"/>
    <x:col min="7" max="7" width="24" hidden="0" customWidth="1"/>
    <x:col min="8" max="8" width="25" hidden="0" customWidth="1"/>
    <x:col min="9" max="9" width="35" hidden="0" customWidth="1"/>
    <x:col min="10" max="10" width="35" hidden="0" customWidth="1"/>
  </x:cols>
  <x:sheetData>
    <x:row r="1" ht="32" customHeight="1">
      <x:c r="A1" s="57" t="str">
        <x:v>Source-to-receiving mapping</x:v>
      </x:c>
      <x:c r="B1" s="57"/>
      <x:c r="C1" s="57"/>
      <x:c r="D1" s="57"/>
      <x:c r="E1" s="57"/>
      <x:c r="F1" s="57"/>
      <x:c r="G1" s="57"/>
      <x:c r="H1" s="57"/>
      <x:c r="I1" s="57"/>
      <x:c r="J1" s="57"/>
    </x:row>
    <x:row r="2" ht="26" customHeight="1">
      <x:c r="A2" s="59" t="str">
        <x:v>Retain the original formula and account meaning. A net-after-project subtotal is not a gross baseline input. Translation, basis harmonization, and method change are distinct.</x:v>
      </x:c>
      <x:c r="B2" s="59"/>
      <x:c r="C2" s="59"/>
      <x:c r="D2" s="59"/>
      <x:c r="E2" s="59"/>
      <x:c r="F2" s="59"/>
      <x:c r="G2" s="59"/>
      <x:c r="H2" s="59"/>
      <x:c r="I2" s="59"/>
      <x:c r="J2" s="59"/>
    </x:row>
    <x:row r="3" ht="26" customHeight="1">
      <x:c r="A3" s="59"/>
      <x:c r="B3" s="59"/>
      <x:c r="C3" s="59"/>
      <x:c r="D3" s="59"/>
      <x:c r="E3" s="59"/>
      <x:c r="F3" s="59"/>
      <x:c r="G3" s="59"/>
      <x:c r="H3" s="59"/>
      <x:c r="I3" s="59"/>
      <x:c r="J3" s="59"/>
    </x:row>
    <x:row r="5" ht="35" customHeight="1">
      <x:c r="A5" s="61" t="str">
        <x:v>Line</x:v>
      </x:c>
      <x:c r="B5" s="61" t="str">
        <x:v>Source alias</x:v>
      </x:c>
      <x:c r="C5" s="61" t="str">
        <x:v>Source sheet</x:v>
      </x:c>
      <x:c r="D5" s="61" t="str">
        <x:v>Source cell</x:v>
      </x:c>
      <x:c r="E5" s="61" t="str">
        <x:v>Native symbol</x:v>
      </x:c>
      <x:c r="F5" s="61" t="str">
        <x:v>Native unit</x:v>
      </x:c>
      <x:c r="G5" s="61" t="str">
        <x:v>Target symbol</x:v>
      </x:c>
      <x:c r="H5" s="61" t="str">
        <x:v>Target cell</x:v>
      </x:c>
      <x:c r="I5" s="61" t="str">
        <x:v>Operation</x:v>
      </x:c>
      <x:c r="J5" s="61" t="str">
        <x:v>Evidence</x:v>
      </x:c>
    </x:row>
    <x:row r="6" ht="40" customHeight="1">
      <x:c r="A6" s="65"/>
      <x:c r="B6" s="65"/>
      <x:c r="C6" s="65"/>
      <x:c r="D6" s="65"/>
      <x:c r="E6" s="65"/>
      <x:c r="F6" s="65"/>
      <x:c r="G6" s="65"/>
      <x:c r="H6" s="65"/>
      <x:c r="I6" s="65"/>
      <x:c r="J6" s="65"/>
    </x:row>
    <x:row r="7" ht="40" customHeight="1">
      <x:c r="A7" s="65"/>
      <x:c r="B7" s="65"/>
      <x:c r="C7" s="65"/>
      <x:c r="D7" s="65"/>
      <x:c r="E7" s="65"/>
      <x:c r="F7" s="65"/>
      <x:c r="G7" s="65"/>
      <x:c r="H7" s="65"/>
      <x:c r="I7" s="65"/>
      <x:c r="J7" s="65"/>
    </x:row>
    <x:row r="8" ht="40" customHeight="1">
      <x:c r="A8" s="65"/>
      <x:c r="B8" s="65"/>
      <x:c r="C8" s="65"/>
      <x:c r="D8" s="65"/>
      <x:c r="E8" s="65"/>
      <x:c r="F8" s="65"/>
      <x:c r="G8" s="65"/>
      <x:c r="H8" s="65"/>
      <x:c r="I8" s="65"/>
      <x:c r="J8" s="65"/>
    </x:row>
    <x:row r="9" ht="40" customHeight="1">
      <x:c r="A9" s="65"/>
      <x:c r="B9" s="65"/>
      <x:c r="C9" s="65"/>
      <x:c r="D9" s="65"/>
      <x:c r="E9" s="65"/>
      <x:c r="F9" s="65"/>
      <x:c r="G9" s="65"/>
      <x:c r="H9" s="65"/>
      <x:c r="I9" s="65"/>
      <x:c r="J9" s="65"/>
    </x:row>
    <x:row r="10" ht="40" customHeight="1">
      <x:c r="A10" s="65"/>
      <x:c r="B10" s="65"/>
      <x:c r="C10" s="65"/>
      <x:c r="D10" s="65"/>
      <x:c r="E10" s="65"/>
      <x:c r="F10" s="65"/>
      <x:c r="G10" s="65"/>
      <x:c r="H10" s="65"/>
      <x:c r="I10" s="65"/>
      <x:c r="J10" s="65"/>
    </x:row>
    <x:row r="11" ht="40" customHeight="1">
      <x:c r="A11" s="65"/>
      <x:c r="B11" s="65"/>
      <x:c r="C11" s="65"/>
      <x:c r="D11" s="65"/>
      <x:c r="E11" s="65"/>
      <x:c r="F11" s="65"/>
      <x:c r="G11" s="65"/>
      <x:c r="H11" s="65"/>
      <x:c r="I11" s="65"/>
      <x:c r="J11" s="65"/>
    </x:row>
    <x:row r="12" ht="40" customHeight="1">
      <x:c r="A12" s="65"/>
      <x:c r="B12" s="65"/>
      <x:c r="C12" s="65"/>
      <x:c r="D12" s="65"/>
      <x:c r="E12" s="65"/>
      <x:c r="F12" s="65"/>
      <x:c r="G12" s="65"/>
      <x:c r="H12" s="65"/>
      <x:c r="I12" s="65"/>
      <x:c r="J12" s="65"/>
    </x:row>
    <x:row r="13" ht="40" customHeight="1">
      <x:c r="A13" s="65"/>
      <x:c r="B13" s="65"/>
      <x:c r="C13" s="65"/>
      <x:c r="D13" s="65"/>
      <x:c r="E13" s="65"/>
      <x:c r="F13" s="65"/>
      <x:c r="G13" s="65"/>
      <x:c r="H13" s="65"/>
      <x:c r="I13" s="65"/>
      <x:c r="J13" s="65"/>
    </x:row>
    <x:row r="14" ht="40" customHeight="1">
      <x:c r="A14" s="65"/>
      <x:c r="B14" s="65"/>
      <x:c r="C14" s="65"/>
      <x:c r="D14" s="65"/>
      <x:c r="E14" s="65"/>
      <x:c r="F14" s="65"/>
      <x:c r="G14" s="65"/>
      <x:c r="H14" s="65"/>
      <x:c r="I14" s="65"/>
      <x:c r="J14" s="65"/>
    </x:row>
    <x:row r="15" ht="40" customHeight="1">
      <x:c r="A15" s="65"/>
      <x:c r="B15" s="65"/>
      <x:c r="C15" s="65"/>
      <x:c r="D15" s="65"/>
      <x:c r="E15" s="65"/>
      <x:c r="F15" s="65"/>
      <x:c r="G15" s="65"/>
      <x:c r="H15" s="65"/>
      <x:c r="I15" s="65"/>
      <x:c r="J15" s="65"/>
    </x:row>
    <x:row r="16" ht="40" customHeight="1">
      <x:c r="A16" s="65"/>
      <x:c r="B16" s="65"/>
      <x:c r="C16" s="65"/>
      <x:c r="D16" s="65"/>
      <x:c r="E16" s="65"/>
      <x:c r="F16" s="65"/>
      <x:c r="G16" s="65"/>
      <x:c r="H16" s="65"/>
      <x:c r="I16" s="65"/>
      <x:c r="J16" s="65"/>
    </x:row>
    <x:row r="17" ht="40" customHeight="1">
      <x:c r="A17" s="65"/>
      <x:c r="B17" s="65"/>
      <x:c r="C17" s="65"/>
      <x:c r="D17" s="65"/>
      <x:c r="E17" s="65"/>
      <x:c r="F17" s="65"/>
      <x:c r="G17" s="65"/>
      <x:c r="H17" s="65"/>
      <x:c r="I17" s="65"/>
      <x:c r="J17" s="65"/>
    </x:row>
    <x:row r="18" ht="40" customHeight="1">
      <x:c r="A18" s="65"/>
      <x:c r="B18" s="65"/>
      <x:c r="C18" s="65"/>
      <x:c r="D18" s="65"/>
      <x:c r="E18" s="65"/>
      <x:c r="F18" s="65"/>
      <x:c r="G18" s="65"/>
      <x:c r="H18" s="65"/>
      <x:c r="I18" s="65"/>
      <x:c r="J18" s="65"/>
    </x:row>
    <x:row r="19" ht="40" customHeight="1">
      <x:c r="A19" s="65"/>
      <x:c r="B19" s="65"/>
      <x:c r="C19" s="65"/>
      <x:c r="D19" s="65"/>
      <x:c r="E19" s="65"/>
      <x:c r="F19" s="65"/>
      <x:c r="G19" s="65"/>
      <x:c r="H19" s="65"/>
      <x:c r="I19" s="65"/>
      <x:c r="J19" s="65"/>
    </x:row>
    <x:row r="20" ht="40" customHeight="1">
      <x:c r="A20" s="65"/>
      <x:c r="B20" s="65"/>
      <x:c r="C20" s="65"/>
      <x:c r="D20" s="65"/>
      <x:c r="E20" s="65"/>
      <x:c r="F20" s="65"/>
      <x:c r="G20" s="65"/>
      <x:c r="H20" s="65"/>
      <x:c r="I20" s="65"/>
      <x:c r="J20" s="65"/>
    </x:row>
    <x:row r="21" ht="40" customHeight="1">
      <x:c r="A21" s="65"/>
      <x:c r="B21" s="65"/>
      <x:c r="C21" s="65"/>
      <x:c r="D21" s="65"/>
      <x:c r="E21" s="65"/>
      <x:c r="F21" s="65"/>
      <x:c r="G21" s="65"/>
      <x:c r="H21" s="65"/>
      <x:c r="I21" s="65"/>
      <x:c r="J21" s="65"/>
    </x:row>
    <x:row r="22" ht="40" customHeight="1">
      <x:c r="A22" s="65"/>
      <x:c r="B22" s="65"/>
      <x:c r="C22" s="65"/>
      <x:c r="D22" s="65"/>
      <x:c r="E22" s="65"/>
      <x:c r="F22" s="65"/>
      <x:c r="G22" s="65"/>
      <x:c r="H22" s="65"/>
      <x:c r="I22" s="65"/>
      <x:c r="J22" s="65"/>
    </x:row>
    <x:row r="23" ht="40" customHeight="1">
      <x:c r="A23" s="65"/>
      <x:c r="B23" s="65"/>
      <x:c r="C23" s="65"/>
      <x:c r="D23" s="65"/>
      <x:c r="E23" s="65"/>
      <x:c r="F23" s="65"/>
      <x:c r="G23" s="65"/>
      <x:c r="H23" s="65"/>
      <x:c r="I23" s="65"/>
      <x:c r="J23" s="65"/>
    </x:row>
    <x:row r="24" ht="40" customHeight="1">
      <x:c r="A24" s="65"/>
      <x:c r="B24" s="65"/>
      <x:c r="C24" s="65"/>
      <x:c r="D24" s="65"/>
      <x:c r="E24" s="65"/>
      <x:c r="F24" s="65"/>
      <x:c r="G24" s="65"/>
      <x:c r="H24" s="65"/>
      <x:c r="I24" s="65"/>
      <x:c r="J24" s="65"/>
    </x:row>
    <x:row r="25" ht="40" customHeight="1">
      <x:c r="A25" s="65"/>
      <x:c r="B25" s="65"/>
      <x:c r="C25" s="65"/>
      <x:c r="D25" s="65"/>
      <x:c r="E25" s="65"/>
      <x:c r="F25" s="65"/>
      <x:c r="G25" s="65"/>
      <x:c r="H25" s="65"/>
      <x:c r="I25" s="65"/>
      <x:c r="J25" s="65"/>
    </x:row>
    <x:row r="26" ht="40" customHeight="1">
      <x:c r="A26" s="65"/>
      <x:c r="B26" s="65"/>
      <x:c r="C26" s="65"/>
      <x:c r="D26" s="65"/>
      <x:c r="E26" s="65"/>
      <x:c r="F26" s="65"/>
      <x:c r="G26" s="65"/>
      <x:c r="H26" s="65"/>
      <x:c r="I26" s="65"/>
      <x:c r="J26" s="65"/>
    </x:row>
    <x:row r="27" ht="40" customHeight="1">
      <x:c r="A27" s="65"/>
      <x:c r="B27" s="65"/>
      <x:c r="C27" s="65"/>
      <x:c r="D27" s="65"/>
      <x:c r="E27" s="65"/>
      <x:c r="F27" s="65"/>
      <x:c r="G27" s="65"/>
      <x:c r="H27" s="65"/>
      <x:c r="I27" s="65"/>
      <x:c r="J27" s="65"/>
    </x:row>
    <x:row r="28" ht="40" customHeight="1">
      <x:c r="A28" s="65"/>
      <x:c r="B28" s="65"/>
      <x:c r="C28" s="65"/>
      <x:c r="D28" s="65"/>
      <x:c r="E28" s="65"/>
      <x:c r="F28" s="65"/>
      <x:c r="G28" s="65"/>
      <x:c r="H28" s="65"/>
      <x:c r="I28" s="65"/>
      <x:c r="J28" s="65"/>
    </x:row>
    <x:row r="29" ht="40" customHeight="1">
      <x:c r="A29" s="65"/>
      <x:c r="B29" s="65"/>
      <x:c r="C29" s="65"/>
      <x:c r="D29" s="65"/>
      <x:c r="E29" s="65"/>
      <x:c r="F29" s="65"/>
      <x:c r="G29" s="65"/>
      <x:c r="H29" s="65"/>
      <x:c r="I29" s="65"/>
      <x:c r="J29" s="65"/>
    </x:row>
    <x:row r="30" ht="40" customHeight="1">
      <x:c r="A30" s="65"/>
      <x:c r="B30" s="65"/>
      <x:c r="C30" s="65"/>
      <x:c r="D30" s="65"/>
      <x:c r="E30" s="65"/>
      <x:c r="F30" s="65"/>
      <x:c r="G30" s="65"/>
      <x:c r="H30" s="65"/>
      <x:c r="I30" s="65"/>
      <x:c r="J30" s="65"/>
    </x:row>
  </x:sheetData>
  <x:mergeCells>
    <x:mergeCell ref="A1:J1"/>
    <x:mergeCell ref="A2:J3"/>
  </x:mergeCells>
  <x:pageMargins left="0.7" right="0.7" top="0.75" bottom="0.75" header="0.3" footer="0.3"/>
</x:worksheet>
</file>

<file path=xl/worksheets/sheet21.xml><?xml version="1.0" encoding="utf-8"?>
<x:worksheet xmlns:x="http://schemas.openxmlformats.org/spreadsheetml/2006/main">
  <x:sheetFormatPr defaultRowHeight="15"/>
  <x:cols>
    <x:col min="1" max="1" width="15" hidden="0" customWidth="1"/>
    <x:col min="2" max="2" width="26" hidden="0" customWidth="1"/>
    <x:col min="3" max="3" width="23" hidden="0" customWidth="1"/>
    <x:col min="4" max="4" width="26" hidden="0" customWidth="1"/>
    <x:col min="5" max="5" width="23" hidden="0" customWidth="1"/>
    <x:col min="6" max="6" width="21" hidden="0" customWidth="1"/>
    <x:col min="7" max="7" width="28" hidden="0" customWidth="1"/>
    <x:col min="8" max="8" width="23" hidden="0" customWidth="1"/>
    <x:col min="9" max="9" width="26" hidden="0" customWidth="1"/>
    <x:col min="10" max="10" width="35" hidden="0" customWidth="1"/>
  </x:cols>
  <x:sheetData>
    <x:row r="1" ht="32" customHeight="1">
      <x:c r="A1" s="57" t="str">
        <x:v>Row-by-row arithmetic review</x:v>
      </x:c>
      <x:c r="B1" s="57"/>
      <x:c r="C1" s="57"/>
      <x:c r="D1" s="57"/>
      <x:c r="E1" s="57"/>
      <x:c r="F1" s="57"/>
      <x:c r="G1" s="57"/>
      <x:c r="H1" s="57"/>
      <x:c r="I1" s="57"/>
      <x:c r="J1" s="57"/>
    </x:row>
    <x:row r="2" ht="26" customHeight="1">
      <x:c r="A2" s="59" t="str">
        <x:v>C and D must have identical meaning, unit, period, and input basis. H is a separately justified receiving-method result: its difference is not automatically an error. Enter the absolute arithmetic tolerance in B4; no materiality threshold is supplied.</x:v>
      </x:c>
      <x:c r="B2" s="59"/>
      <x:c r="C2" s="59"/>
      <x:c r="D2" s="59"/>
      <x:c r="E2" s="59"/>
      <x:c r="F2" s="59"/>
      <x:c r="G2" s="59"/>
      <x:c r="H2" s="59"/>
      <x:c r="I2" s="59"/>
      <x:c r="J2" s="59"/>
    </x:row>
    <x:row r="3" ht="26" customHeight="1">
      <x:c r="A3" s="59"/>
      <x:c r="B3" s="59"/>
      <x:c r="C3" s="59"/>
      <x:c r="D3" s="59"/>
      <x:c r="E3" s="59"/>
      <x:c r="F3" s="59"/>
      <x:c r="G3" s="59"/>
      <x:c r="H3" s="59"/>
      <x:c r="I3" s="59"/>
      <x:c r="J3" s="59"/>
    </x:row>
    <x:row r="4">
      <x:c r="A4" t="str">
        <x:v>epsilon_a</x:v>
      </x:c>
      <x:c r="B4" s="67"/>
    </x:row>
    <x:row r="5" ht="35" customHeight="1">
      <x:c r="A5" s="61" t="str">
        <x:v>Row</x:v>
      </x:c>
      <x:c r="B5" s="61" t="str">
        <x:v>Source cell</x:v>
      </x:c>
      <x:c r="C5" s="61" t="str">
        <x:v>Reference value</x:v>
      </x:c>
      <x:c r="D5" s="61" t="str">
        <x:v>Same-method recalculation</x:v>
      </x:c>
      <x:c r="E5" s="61" t="str">
        <x:v>Difference</x:v>
      </x:c>
      <x:c r="F5" s="61" t="str">
        <x:v>Unit</x:v>
      </x:c>
      <x:c r="G5" s="61" t="str">
        <x:v>Arithmetic check</x:v>
      </x:c>
      <x:c r="H5" s="61" t="str">
        <x:v>Receiving value</x:v>
      </x:c>
      <x:c r="I5" s="61" t="str">
        <x:v>Receiving difference</x:v>
      </x:c>
      <x:c r="J5" s="61" t="str">
        <x:v>Reason</x:v>
      </x:c>
    </x:row>
    <x:row r="6" ht="33" customHeight="1">
      <x:c r="A6" s="65"/>
      <x:c r="B6" s="65"/>
      <x:c r="C6" s="71"/>
      <x:c r="D6" s="71"/>
      <x:c r="E6" s="69" t="str">
        <x:f>IF(COUNT(C6:D6)=2,D6-C6,"")</x:f>
      </x:c>
      <x:c r="F6" s="65"/>
      <x:c r="G6" s="70" t="str">
        <x:f>IF(A6="","",IF(AND(ISNUMBER(E6),ISNUMBER($B$4),$B$4&gt;=0,F6&lt;&gt;""),IF(ABS(E6)&lt;=$B$4,"ARITHMETIC MATCH","DIFFERENCE"),"INPUT REQUIRED"))</x:f>
      </x:c>
      <x:c r="H6" s="71"/>
      <x:c r="I6" s="69" t="str">
        <x:f>IF(COUNT(C6,H6)=2,H6-C6,"")</x:f>
      </x:c>
      <x:c r="J6" s="65"/>
    </x:row>
    <x:row r="7" ht="33" customHeight="1">
      <x:c r="A7" s="65"/>
      <x:c r="B7" s="65"/>
      <x:c r="C7" s="71"/>
      <x:c r="D7" s="71"/>
      <x:c r="E7" s="69" t="str">
        <x:f>IF(COUNT(C7:D7)=2,D7-C7,"")</x:f>
      </x:c>
      <x:c r="F7" s="65"/>
      <x:c r="G7" s="70" t="str">
        <x:f>IF(A7="","",IF(AND(ISNUMBER(E7),ISNUMBER($B$4),$B$4&gt;=0,F7&lt;&gt;""),IF(ABS(E7)&lt;=$B$4,"ARITHMETIC MATCH","DIFFERENCE"),"INPUT REQUIRED"))</x:f>
      </x:c>
      <x:c r="H7" s="71"/>
      <x:c r="I7" s="69" t="str">
        <x:f>IF(COUNT(C7,H7)=2,H7-C7,"")</x:f>
      </x:c>
      <x:c r="J7" s="65"/>
    </x:row>
    <x:row r="8" ht="33" customHeight="1">
      <x:c r="A8" s="65"/>
      <x:c r="B8" s="65"/>
      <x:c r="C8" s="71"/>
      <x:c r="D8" s="71"/>
      <x:c r="E8" s="69" t="str">
        <x:f>IF(COUNT(C8:D8)=2,D8-C8,"")</x:f>
      </x:c>
      <x:c r="F8" s="65"/>
      <x:c r="G8" s="70" t="str">
        <x:f>IF(A8="","",IF(AND(ISNUMBER(E8),ISNUMBER($B$4),$B$4&gt;=0,F8&lt;&gt;""),IF(ABS(E8)&lt;=$B$4,"ARITHMETIC MATCH","DIFFERENCE"),"INPUT REQUIRED"))</x:f>
      </x:c>
      <x:c r="H8" s="71"/>
      <x:c r="I8" s="69" t="str">
        <x:f>IF(COUNT(C8,H8)=2,H8-C8,"")</x:f>
      </x:c>
      <x:c r="J8" s="65"/>
    </x:row>
    <x:row r="9" ht="33" customHeight="1">
      <x:c r="A9" s="65"/>
      <x:c r="B9" s="65"/>
      <x:c r="C9" s="71"/>
      <x:c r="D9" s="71"/>
      <x:c r="E9" s="69" t="str">
        <x:f>IF(COUNT(C9:D9)=2,D9-C9,"")</x:f>
      </x:c>
      <x:c r="F9" s="65"/>
      <x:c r="G9" s="70" t="str">
        <x:f>IF(A9="","",IF(AND(ISNUMBER(E9),ISNUMBER($B$4),$B$4&gt;=0,F9&lt;&gt;""),IF(ABS(E9)&lt;=$B$4,"ARITHMETIC MATCH","DIFFERENCE"),"INPUT REQUIRED"))</x:f>
      </x:c>
      <x:c r="H9" s="71"/>
      <x:c r="I9" s="69" t="str">
        <x:f>IF(COUNT(C9,H9)=2,H9-C9,"")</x:f>
      </x:c>
      <x:c r="J9" s="65"/>
    </x:row>
    <x:row r="10" ht="33" customHeight="1">
      <x:c r="A10" s="65"/>
      <x:c r="B10" s="65"/>
      <x:c r="C10" s="71"/>
      <x:c r="D10" s="71"/>
      <x:c r="E10" s="69" t="str">
        <x:f>IF(COUNT(C10:D10)=2,D10-C10,"")</x:f>
      </x:c>
      <x:c r="F10" s="65"/>
      <x:c r="G10" s="70" t="str">
        <x:f>IF(A10="","",IF(AND(ISNUMBER(E10),ISNUMBER($B$4),$B$4&gt;=0,F10&lt;&gt;""),IF(ABS(E10)&lt;=$B$4,"ARITHMETIC MATCH","DIFFERENCE"),"INPUT REQUIRED"))</x:f>
      </x:c>
      <x:c r="H10" s="71"/>
      <x:c r="I10" s="69" t="str">
        <x:f>IF(COUNT(C10,H10)=2,H10-C10,"")</x:f>
      </x:c>
      <x:c r="J10" s="65"/>
    </x:row>
    <x:row r="11" ht="33" customHeight="1">
      <x:c r="A11" s="65"/>
      <x:c r="B11" s="65"/>
      <x:c r="C11" s="71"/>
      <x:c r="D11" s="71"/>
      <x:c r="E11" s="69" t="str">
        <x:f>IF(COUNT(C11:D11)=2,D11-C11,"")</x:f>
      </x:c>
      <x:c r="F11" s="65"/>
      <x:c r="G11" s="70" t="str">
        <x:f>IF(A11="","",IF(AND(ISNUMBER(E11),ISNUMBER($B$4),$B$4&gt;=0,F11&lt;&gt;""),IF(ABS(E11)&lt;=$B$4,"ARITHMETIC MATCH","DIFFERENCE"),"INPUT REQUIRED"))</x:f>
      </x:c>
      <x:c r="H11" s="71"/>
      <x:c r="I11" s="69" t="str">
        <x:f>IF(COUNT(C11,H11)=2,H11-C11,"")</x:f>
      </x:c>
      <x:c r="J11" s="65"/>
    </x:row>
    <x:row r="12" ht="33" customHeight="1">
      <x:c r="A12" s="65"/>
      <x:c r="B12" s="65"/>
      <x:c r="C12" s="71"/>
      <x:c r="D12" s="71"/>
      <x:c r="E12" s="69" t="str">
        <x:f>IF(COUNT(C12:D12)=2,D12-C12,"")</x:f>
      </x:c>
      <x:c r="F12" s="65"/>
      <x:c r="G12" s="70" t="str">
        <x:f>IF(A12="","",IF(AND(ISNUMBER(E12),ISNUMBER($B$4),$B$4&gt;=0,F12&lt;&gt;""),IF(ABS(E12)&lt;=$B$4,"ARITHMETIC MATCH","DIFFERENCE"),"INPUT REQUIRED"))</x:f>
      </x:c>
      <x:c r="H12" s="71"/>
      <x:c r="I12" s="69" t="str">
        <x:f>IF(COUNT(C12,H12)=2,H12-C12,"")</x:f>
      </x:c>
      <x:c r="J12" s="65"/>
    </x:row>
    <x:row r="13" ht="33" customHeight="1">
      <x:c r="A13" s="65"/>
      <x:c r="B13" s="65"/>
      <x:c r="C13" s="71"/>
      <x:c r="D13" s="71"/>
      <x:c r="E13" s="69" t="str">
        <x:f>IF(COUNT(C13:D13)=2,D13-C13,"")</x:f>
      </x:c>
      <x:c r="F13" s="65"/>
      <x:c r="G13" s="70" t="str">
        <x:f>IF(A13="","",IF(AND(ISNUMBER(E13),ISNUMBER($B$4),$B$4&gt;=0,F13&lt;&gt;""),IF(ABS(E13)&lt;=$B$4,"ARITHMETIC MATCH","DIFFERENCE"),"INPUT REQUIRED"))</x:f>
      </x:c>
      <x:c r="H13" s="71"/>
      <x:c r="I13" s="69" t="str">
        <x:f>IF(COUNT(C13,H13)=2,H13-C13,"")</x:f>
      </x:c>
      <x:c r="J13" s="65"/>
    </x:row>
    <x:row r="14" ht="33" customHeight="1">
      <x:c r="A14" s="65"/>
      <x:c r="B14" s="65"/>
      <x:c r="C14" s="71"/>
      <x:c r="D14" s="71"/>
      <x:c r="E14" s="69" t="str">
        <x:f>IF(COUNT(C14:D14)=2,D14-C14,"")</x:f>
      </x:c>
      <x:c r="F14" s="65"/>
      <x:c r="G14" s="70" t="str">
        <x:f>IF(A14="","",IF(AND(ISNUMBER(E14),ISNUMBER($B$4),$B$4&gt;=0,F14&lt;&gt;""),IF(ABS(E14)&lt;=$B$4,"ARITHMETIC MATCH","DIFFERENCE"),"INPUT REQUIRED"))</x:f>
      </x:c>
      <x:c r="H14" s="71"/>
      <x:c r="I14" s="69" t="str">
        <x:f>IF(COUNT(C14,H14)=2,H14-C14,"")</x:f>
      </x:c>
      <x:c r="J14" s="65"/>
    </x:row>
    <x:row r="15" ht="33" customHeight="1">
      <x:c r="A15" s="65"/>
      <x:c r="B15" s="65"/>
      <x:c r="C15" s="71"/>
      <x:c r="D15" s="71"/>
      <x:c r="E15" s="69" t="str">
        <x:f>IF(COUNT(C15:D15)=2,D15-C15,"")</x:f>
      </x:c>
      <x:c r="F15" s="65"/>
      <x:c r="G15" s="70" t="str">
        <x:f>IF(A15="","",IF(AND(ISNUMBER(E15),ISNUMBER($B$4),$B$4&gt;=0,F15&lt;&gt;""),IF(ABS(E15)&lt;=$B$4,"ARITHMETIC MATCH","DIFFERENCE"),"INPUT REQUIRED"))</x:f>
      </x:c>
      <x:c r="H15" s="71"/>
      <x:c r="I15" s="69" t="str">
        <x:f>IF(COUNT(C15,H15)=2,H15-C15,"")</x:f>
      </x:c>
      <x:c r="J15" s="65"/>
    </x:row>
    <x:row r="16" ht="33" customHeight="1">
      <x:c r="A16" s="65"/>
      <x:c r="B16" s="65"/>
      <x:c r="C16" s="71"/>
      <x:c r="D16" s="71"/>
      <x:c r="E16" s="69" t="str">
        <x:f>IF(COUNT(C16:D16)=2,D16-C16,"")</x:f>
      </x:c>
      <x:c r="F16" s="65"/>
      <x:c r="G16" s="70" t="str">
        <x:f>IF(A16="","",IF(AND(ISNUMBER(E16),ISNUMBER($B$4),$B$4&gt;=0,F16&lt;&gt;""),IF(ABS(E16)&lt;=$B$4,"ARITHMETIC MATCH","DIFFERENCE"),"INPUT REQUIRED"))</x:f>
      </x:c>
      <x:c r="H16" s="71"/>
      <x:c r="I16" s="69" t="str">
        <x:f>IF(COUNT(C16,H16)=2,H16-C16,"")</x:f>
      </x:c>
      <x:c r="J16" s="65"/>
    </x:row>
    <x:row r="17" ht="33" customHeight="1">
      <x:c r="A17" s="65"/>
      <x:c r="B17" s="65"/>
      <x:c r="C17" s="71"/>
      <x:c r="D17" s="71"/>
      <x:c r="E17" s="69" t="str">
        <x:f>IF(COUNT(C17:D17)=2,D17-C17,"")</x:f>
      </x:c>
      <x:c r="F17" s="65"/>
      <x:c r="G17" s="70" t="str">
        <x:f>IF(A17="","",IF(AND(ISNUMBER(E17),ISNUMBER($B$4),$B$4&gt;=0,F17&lt;&gt;""),IF(ABS(E17)&lt;=$B$4,"ARITHMETIC MATCH","DIFFERENCE"),"INPUT REQUIRED"))</x:f>
      </x:c>
      <x:c r="H17" s="71"/>
      <x:c r="I17" s="69" t="str">
        <x:f>IF(COUNT(C17,H17)=2,H17-C17,"")</x:f>
      </x:c>
      <x:c r="J17" s="65"/>
    </x:row>
    <x:row r="18" ht="33" customHeight="1">
      <x:c r="A18" s="65"/>
      <x:c r="B18" s="65"/>
      <x:c r="C18" s="71"/>
      <x:c r="D18" s="71"/>
      <x:c r="E18" s="69" t="str">
        <x:f>IF(COUNT(C18:D18)=2,D18-C18,"")</x:f>
      </x:c>
      <x:c r="F18" s="65"/>
      <x:c r="G18" s="70" t="str">
        <x:f>IF(A18="","",IF(AND(ISNUMBER(E18),ISNUMBER($B$4),$B$4&gt;=0,F18&lt;&gt;""),IF(ABS(E18)&lt;=$B$4,"ARITHMETIC MATCH","DIFFERENCE"),"INPUT REQUIRED"))</x:f>
      </x:c>
      <x:c r="H18" s="71"/>
      <x:c r="I18" s="69" t="str">
        <x:f>IF(COUNT(C18,H18)=2,H18-C18,"")</x:f>
      </x:c>
      <x:c r="J18" s="65"/>
    </x:row>
    <x:row r="19" ht="33" customHeight="1">
      <x:c r="A19" s="65"/>
      <x:c r="B19" s="65"/>
      <x:c r="C19" s="71"/>
      <x:c r="D19" s="71"/>
      <x:c r="E19" s="69" t="str">
        <x:f>IF(COUNT(C19:D19)=2,D19-C19,"")</x:f>
      </x:c>
      <x:c r="F19" s="65"/>
      <x:c r="G19" s="70" t="str">
        <x:f>IF(A19="","",IF(AND(ISNUMBER(E19),ISNUMBER($B$4),$B$4&gt;=0,F19&lt;&gt;""),IF(ABS(E19)&lt;=$B$4,"ARITHMETIC MATCH","DIFFERENCE"),"INPUT REQUIRED"))</x:f>
      </x:c>
      <x:c r="H19" s="71"/>
      <x:c r="I19" s="69" t="str">
        <x:f>IF(COUNT(C19,H19)=2,H19-C19,"")</x:f>
      </x:c>
      <x:c r="J19" s="65"/>
    </x:row>
    <x:row r="20" ht="33" customHeight="1">
      <x:c r="A20" s="65"/>
      <x:c r="B20" s="65"/>
      <x:c r="C20" s="71"/>
      <x:c r="D20" s="71"/>
      <x:c r="E20" s="69" t="str">
        <x:f>IF(COUNT(C20:D20)=2,D20-C20,"")</x:f>
      </x:c>
      <x:c r="F20" s="65"/>
      <x:c r="G20" s="70" t="str">
        <x:f>IF(A20="","",IF(AND(ISNUMBER(E20),ISNUMBER($B$4),$B$4&gt;=0,F20&lt;&gt;""),IF(ABS(E20)&lt;=$B$4,"ARITHMETIC MATCH","DIFFERENCE"),"INPUT REQUIRED"))</x:f>
      </x:c>
      <x:c r="H20" s="71"/>
      <x:c r="I20" s="69" t="str">
        <x:f>IF(COUNT(C20,H20)=2,H20-C20,"")</x:f>
      </x:c>
      <x:c r="J20" s="65"/>
    </x:row>
    <x:row r="21" ht="33" customHeight="1">
      <x:c r="A21" s="65"/>
      <x:c r="B21" s="65"/>
      <x:c r="C21" s="71"/>
      <x:c r="D21" s="71"/>
      <x:c r="E21" s="69" t="str">
        <x:f>IF(COUNT(C21:D21)=2,D21-C21,"")</x:f>
      </x:c>
      <x:c r="F21" s="65"/>
      <x:c r="G21" s="70" t="str">
        <x:f>IF(A21="","",IF(AND(ISNUMBER(E21),ISNUMBER($B$4),$B$4&gt;=0,F21&lt;&gt;""),IF(ABS(E21)&lt;=$B$4,"ARITHMETIC MATCH","DIFFERENCE"),"INPUT REQUIRED"))</x:f>
      </x:c>
      <x:c r="H21" s="71"/>
      <x:c r="I21" s="69" t="str">
        <x:f>IF(COUNT(C21,H21)=2,H21-C21,"")</x:f>
      </x:c>
      <x:c r="J21" s="65"/>
    </x:row>
    <x:row r="22" ht="33" customHeight="1">
      <x:c r="A22" s="65"/>
      <x:c r="B22" s="65"/>
      <x:c r="C22" s="71"/>
      <x:c r="D22" s="71"/>
      <x:c r="E22" s="69" t="str">
        <x:f>IF(COUNT(C22:D22)=2,D22-C22,"")</x:f>
      </x:c>
      <x:c r="F22" s="65"/>
      <x:c r="G22" s="70" t="str">
        <x:f>IF(A22="","",IF(AND(ISNUMBER(E22),ISNUMBER($B$4),$B$4&gt;=0,F22&lt;&gt;""),IF(ABS(E22)&lt;=$B$4,"ARITHMETIC MATCH","DIFFERENCE"),"INPUT REQUIRED"))</x:f>
      </x:c>
      <x:c r="H22" s="71"/>
      <x:c r="I22" s="69" t="str">
        <x:f>IF(COUNT(C22,H22)=2,H22-C22,"")</x:f>
      </x:c>
      <x:c r="J22" s="65"/>
    </x:row>
    <x:row r="23" ht="33" customHeight="1">
      <x:c r="A23" s="65"/>
      <x:c r="B23" s="65"/>
      <x:c r="C23" s="71"/>
      <x:c r="D23" s="71"/>
      <x:c r="E23" s="69" t="str">
        <x:f>IF(COUNT(C23:D23)=2,D23-C23,"")</x:f>
      </x:c>
      <x:c r="F23" s="65"/>
      <x:c r="G23" s="70" t="str">
        <x:f>IF(A23="","",IF(AND(ISNUMBER(E23),ISNUMBER($B$4),$B$4&gt;=0,F23&lt;&gt;""),IF(ABS(E23)&lt;=$B$4,"ARITHMETIC MATCH","DIFFERENCE"),"INPUT REQUIRED"))</x:f>
      </x:c>
      <x:c r="H23" s="71"/>
      <x:c r="I23" s="69" t="str">
        <x:f>IF(COUNT(C23,H23)=2,H23-C23,"")</x:f>
      </x:c>
      <x:c r="J23" s="65"/>
    </x:row>
    <x:row r="24" ht="33" customHeight="1">
      <x:c r="A24" s="65"/>
      <x:c r="B24" s="65"/>
      <x:c r="C24" s="71"/>
      <x:c r="D24" s="71"/>
      <x:c r="E24" s="69" t="str">
        <x:f>IF(COUNT(C24:D24)=2,D24-C24,"")</x:f>
      </x:c>
      <x:c r="F24" s="65"/>
      <x:c r="G24" s="70" t="str">
        <x:f>IF(A24="","",IF(AND(ISNUMBER(E24),ISNUMBER($B$4),$B$4&gt;=0,F24&lt;&gt;""),IF(ABS(E24)&lt;=$B$4,"ARITHMETIC MATCH","DIFFERENCE"),"INPUT REQUIRED"))</x:f>
      </x:c>
      <x:c r="H24" s="71"/>
      <x:c r="I24" s="69" t="str">
        <x:f>IF(COUNT(C24,H24)=2,H24-C24,"")</x:f>
      </x:c>
      <x:c r="J24" s="65"/>
    </x:row>
    <x:row r="25" ht="33" customHeight="1">
      <x:c r="A25" s="65"/>
      <x:c r="B25" s="65"/>
      <x:c r="C25" s="71"/>
      <x:c r="D25" s="71"/>
      <x:c r="E25" s="69" t="str">
        <x:f>IF(COUNT(C25:D25)=2,D25-C25,"")</x:f>
      </x:c>
      <x:c r="F25" s="65"/>
      <x:c r="G25" s="70" t="str">
        <x:f>IF(A25="","",IF(AND(ISNUMBER(E25),ISNUMBER($B$4),$B$4&gt;=0,F25&lt;&gt;""),IF(ABS(E25)&lt;=$B$4,"ARITHMETIC MATCH","DIFFERENCE"),"INPUT REQUIRED"))</x:f>
      </x:c>
      <x:c r="H25" s="71"/>
      <x:c r="I25" s="69" t="str">
        <x:f>IF(COUNT(C25,H25)=2,H25-C25,"")</x:f>
      </x:c>
      <x:c r="J25" s="65"/>
    </x:row>
    <x:row r="26" ht="33" customHeight="1">
      <x:c r="A26" s="65"/>
      <x:c r="B26" s="65"/>
      <x:c r="C26" s="71"/>
      <x:c r="D26" s="71"/>
      <x:c r="E26" s="69" t="str">
        <x:f>IF(COUNT(C26:D26)=2,D26-C26,"")</x:f>
      </x:c>
      <x:c r="F26" s="65"/>
      <x:c r="G26" s="70" t="str">
        <x:f>IF(A26="","",IF(AND(ISNUMBER(E26),ISNUMBER($B$4),$B$4&gt;=0,F26&lt;&gt;""),IF(ABS(E26)&lt;=$B$4,"ARITHMETIC MATCH","DIFFERENCE"),"INPUT REQUIRED"))</x:f>
      </x:c>
      <x:c r="H26" s="71"/>
      <x:c r="I26" s="69" t="str">
        <x:f>IF(COUNT(C26,H26)=2,H26-C26,"")</x:f>
      </x:c>
      <x:c r="J26" s="65"/>
    </x:row>
    <x:row r="27" ht="33" customHeight="1">
      <x:c r="A27" s="65"/>
      <x:c r="B27" s="65"/>
      <x:c r="C27" s="71"/>
      <x:c r="D27" s="71"/>
      <x:c r="E27" s="69" t="str">
        <x:f>IF(COUNT(C27:D27)=2,D27-C27,"")</x:f>
      </x:c>
      <x:c r="F27" s="65"/>
      <x:c r="G27" s="70" t="str">
        <x:f>IF(A27="","",IF(AND(ISNUMBER(E27),ISNUMBER($B$4),$B$4&gt;=0,F27&lt;&gt;""),IF(ABS(E27)&lt;=$B$4,"ARITHMETIC MATCH","DIFFERENCE"),"INPUT REQUIRED"))</x:f>
      </x:c>
      <x:c r="H27" s="71"/>
      <x:c r="I27" s="69" t="str">
        <x:f>IF(COUNT(C27,H27)=2,H27-C27,"")</x:f>
      </x:c>
      <x:c r="J27" s="65"/>
    </x:row>
    <x:row r="28" ht="33" customHeight="1">
      <x:c r="A28" s="65"/>
      <x:c r="B28" s="65"/>
      <x:c r="C28" s="71"/>
      <x:c r="D28" s="71"/>
      <x:c r="E28" s="69" t="str">
        <x:f>IF(COUNT(C28:D28)=2,D28-C28,"")</x:f>
      </x:c>
      <x:c r="F28" s="65"/>
      <x:c r="G28" s="70" t="str">
        <x:f>IF(A28="","",IF(AND(ISNUMBER(E28),ISNUMBER($B$4),$B$4&gt;=0,F28&lt;&gt;""),IF(ABS(E28)&lt;=$B$4,"ARITHMETIC MATCH","DIFFERENCE"),"INPUT REQUIRED"))</x:f>
      </x:c>
      <x:c r="H28" s="71"/>
      <x:c r="I28" s="69" t="str">
        <x:f>IF(COUNT(C28,H28)=2,H28-C28,"")</x:f>
      </x:c>
      <x:c r="J28" s="65"/>
    </x:row>
    <x:row r="29" ht="33" customHeight="1">
      <x:c r="A29" s="65"/>
      <x:c r="B29" s="65"/>
      <x:c r="C29" s="71"/>
      <x:c r="D29" s="71"/>
      <x:c r="E29" s="69" t="str">
        <x:f>IF(COUNT(C29:D29)=2,D29-C29,"")</x:f>
      </x:c>
      <x:c r="F29" s="65"/>
      <x:c r="G29" s="70" t="str">
        <x:f>IF(A29="","",IF(AND(ISNUMBER(E29),ISNUMBER($B$4),$B$4&gt;=0,F29&lt;&gt;""),IF(ABS(E29)&lt;=$B$4,"ARITHMETIC MATCH","DIFFERENCE"),"INPUT REQUIRED"))</x:f>
      </x:c>
      <x:c r="H29" s="71"/>
      <x:c r="I29" s="69" t="str">
        <x:f>IF(COUNT(C29,H29)=2,H29-C29,"")</x:f>
      </x:c>
      <x:c r="J29" s="65"/>
    </x:row>
    <x:row r="30" ht="33" customHeight="1">
      <x:c r="A30" s="65"/>
      <x:c r="B30" s="65"/>
      <x:c r="C30" s="71"/>
      <x:c r="D30" s="71"/>
      <x:c r="E30" s="69" t="str">
        <x:f>IF(COUNT(C30:D30)=2,D30-C30,"")</x:f>
      </x:c>
      <x:c r="F30" s="65"/>
      <x:c r="G30" s="70" t="str">
        <x:f>IF(A30="","",IF(AND(ISNUMBER(E30),ISNUMBER($B$4),$B$4&gt;=0,F30&lt;&gt;""),IF(ABS(E30)&lt;=$B$4,"ARITHMETIC MATCH","DIFFERENCE"),"INPUT REQUIRED"))</x:f>
      </x:c>
      <x:c r="H30" s="71"/>
      <x:c r="I30" s="69" t="str">
        <x:f>IF(COUNT(C30,H30)=2,H30-C30,"")</x:f>
      </x:c>
      <x:c r="J30" s="65"/>
    </x:row>
    <x:row r="31" ht="33" customHeight="1">
      <x:c r="A31" s="65"/>
      <x:c r="B31" s="65"/>
      <x:c r="C31" s="71"/>
      <x:c r="D31" s="71"/>
      <x:c r="E31" s="69" t="str">
        <x:f>IF(COUNT(C31:D31)=2,D31-C31,"")</x:f>
      </x:c>
      <x:c r="F31" s="65"/>
      <x:c r="G31" s="70" t="str">
        <x:f>IF(A31="","",IF(AND(ISNUMBER(E31),ISNUMBER($B$4),$B$4&gt;=0,F31&lt;&gt;""),IF(ABS(E31)&lt;=$B$4,"ARITHMETIC MATCH","DIFFERENCE"),"INPUT REQUIRED"))</x:f>
      </x:c>
      <x:c r="H31" s="71"/>
      <x:c r="I31" s="69" t="str">
        <x:f>IF(COUNT(C31,H31)=2,H31-C31,"")</x:f>
      </x:c>
      <x:c r="J31" s="65"/>
    </x:row>
    <x:row r="32" ht="33" customHeight="1">
      <x:c r="A32" s="65"/>
      <x:c r="B32" s="65"/>
      <x:c r="C32" s="71"/>
      <x:c r="D32" s="71"/>
      <x:c r="E32" s="69" t="str">
        <x:f>IF(COUNT(C32:D32)=2,D32-C32,"")</x:f>
      </x:c>
      <x:c r="F32" s="65"/>
      <x:c r="G32" s="70" t="str">
        <x:f>IF(A32="","",IF(AND(ISNUMBER(E32),ISNUMBER($B$4),$B$4&gt;=0,F32&lt;&gt;""),IF(ABS(E32)&lt;=$B$4,"ARITHMETIC MATCH","DIFFERENCE"),"INPUT REQUIRED"))</x:f>
      </x:c>
      <x:c r="H32" s="71"/>
      <x:c r="I32" s="69" t="str">
        <x:f>IF(COUNT(C32,H32)=2,H32-C32,"")</x:f>
      </x:c>
      <x:c r="J32" s="65"/>
    </x:row>
    <x:row r="33" ht="33" customHeight="1">
      <x:c r="A33" s="65"/>
      <x:c r="B33" s="65"/>
      <x:c r="C33" s="71"/>
      <x:c r="D33" s="71"/>
      <x:c r="E33" s="69" t="str">
        <x:f>IF(COUNT(C33:D33)=2,D33-C33,"")</x:f>
      </x:c>
      <x:c r="F33" s="65"/>
      <x:c r="G33" s="70" t="str">
        <x:f>IF(A33="","",IF(AND(ISNUMBER(E33),ISNUMBER($B$4),$B$4&gt;=0,F33&lt;&gt;""),IF(ABS(E33)&lt;=$B$4,"ARITHMETIC MATCH","DIFFERENCE"),"INPUT REQUIRED"))</x:f>
      </x:c>
      <x:c r="H33" s="71"/>
      <x:c r="I33" s="69" t="str">
        <x:f>IF(COUNT(C33,H33)=2,H33-C33,"")</x:f>
      </x:c>
      <x:c r="J33" s="65"/>
    </x:row>
    <x:row r="34" ht="33" customHeight="1">
      <x:c r="A34" s="65"/>
      <x:c r="B34" s="65"/>
      <x:c r="C34" s="71"/>
      <x:c r="D34" s="71"/>
      <x:c r="E34" s="69" t="str">
        <x:f>IF(COUNT(C34:D34)=2,D34-C34,"")</x:f>
      </x:c>
      <x:c r="F34" s="65"/>
      <x:c r="G34" s="70" t="str">
        <x:f>IF(A34="","",IF(AND(ISNUMBER(E34),ISNUMBER($B$4),$B$4&gt;=0,F34&lt;&gt;""),IF(ABS(E34)&lt;=$B$4,"ARITHMETIC MATCH","DIFFERENCE"),"INPUT REQUIRED"))</x:f>
      </x:c>
      <x:c r="H34" s="71"/>
      <x:c r="I34" s="69" t="str">
        <x:f>IF(COUNT(C34,H34)=2,H34-C34,"")</x:f>
      </x:c>
      <x:c r="J34" s="65"/>
    </x:row>
    <x:row r="35" ht="33" customHeight="1">
      <x:c r="A35" s="65"/>
      <x:c r="B35" s="65"/>
      <x:c r="C35" s="71"/>
      <x:c r="D35" s="71"/>
      <x:c r="E35" s="69" t="str">
        <x:f>IF(COUNT(C35:D35)=2,D35-C35,"")</x:f>
      </x:c>
      <x:c r="F35" s="65"/>
      <x:c r="G35" s="70" t="str">
        <x:f>IF(A35="","",IF(AND(ISNUMBER(E35),ISNUMBER($B$4),$B$4&gt;=0,F35&lt;&gt;""),IF(ABS(E35)&lt;=$B$4,"ARITHMETIC MATCH","DIFFERENCE"),"INPUT REQUIRED"))</x:f>
      </x:c>
      <x:c r="H35" s="71"/>
      <x:c r="I35" s="69" t="str">
        <x:f>IF(COUNT(C35,H35)=2,H35-C35,"")</x:f>
      </x:c>
      <x:c r="J35" s="65"/>
    </x:row>
    <x:row r="36" ht="33" customHeight="1">
      <x:c r="A36" s="65"/>
      <x:c r="B36" s="65"/>
      <x:c r="C36" s="71"/>
      <x:c r="D36" s="71"/>
      <x:c r="E36" s="69" t="str">
        <x:f>IF(COUNT(C36:D36)=2,D36-C36,"")</x:f>
      </x:c>
      <x:c r="F36" s="65"/>
      <x:c r="G36" s="70" t="str">
        <x:f>IF(A36="","",IF(AND(ISNUMBER(E36),ISNUMBER($B$4),$B$4&gt;=0,F36&lt;&gt;""),IF(ABS(E36)&lt;=$B$4,"ARITHMETIC MATCH","DIFFERENCE"),"INPUT REQUIRED"))</x:f>
      </x:c>
      <x:c r="H36" s="71"/>
      <x:c r="I36" s="69" t="str">
        <x:f>IF(COUNT(C36,H36)=2,H36-C36,"")</x:f>
      </x:c>
      <x:c r="J36" s="65"/>
    </x:row>
    <x:row r="37" ht="33" customHeight="1">
      <x:c r="A37" s="65"/>
      <x:c r="B37" s="65"/>
      <x:c r="C37" s="71"/>
      <x:c r="D37" s="71"/>
      <x:c r="E37" s="69" t="str">
        <x:f>IF(COUNT(C37:D37)=2,D37-C37,"")</x:f>
      </x:c>
      <x:c r="F37" s="65"/>
      <x:c r="G37" s="70" t="str">
        <x:f>IF(A37="","",IF(AND(ISNUMBER(E37),ISNUMBER($B$4),$B$4&gt;=0,F37&lt;&gt;""),IF(ABS(E37)&lt;=$B$4,"ARITHMETIC MATCH","DIFFERENCE"),"INPUT REQUIRED"))</x:f>
      </x:c>
      <x:c r="H37" s="71"/>
      <x:c r="I37" s="69" t="str">
        <x:f>IF(COUNT(C37,H37)=2,H37-C37,"")</x:f>
      </x:c>
      <x:c r="J37" s="65"/>
    </x:row>
    <x:row r="38" ht="33" customHeight="1">
      <x:c r="A38" s="65"/>
      <x:c r="B38" s="65"/>
      <x:c r="C38" s="71"/>
      <x:c r="D38" s="71"/>
      <x:c r="E38" s="69" t="str">
        <x:f>IF(COUNT(C38:D38)=2,D38-C38,"")</x:f>
      </x:c>
      <x:c r="F38" s="65"/>
      <x:c r="G38" s="70" t="str">
        <x:f>IF(A38="","",IF(AND(ISNUMBER(E38),ISNUMBER($B$4),$B$4&gt;=0,F38&lt;&gt;""),IF(ABS(E38)&lt;=$B$4,"ARITHMETIC MATCH","DIFFERENCE"),"INPUT REQUIRED"))</x:f>
      </x:c>
      <x:c r="H38" s="71"/>
      <x:c r="I38" s="69" t="str">
        <x:f>IF(COUNT(C38,H38)=2,H38-C38,"")</x:f>
      </x:c>
      <x:c r="J38" s="65"/>
    </x:row>
    <x:row r="39" ht="33" customHeight="1">
      <x:c r="A39" s="65"/>
      <x:c r="B39" s="65"/>
      <x:c r="C39" s="71"/>
      <x:c r="D39" s="71"/>
      <x:c r="E39" s="69" t="str">
        <x:f>IF(COUNT(C39:D39)=2,D39-C39,"")</x:f>
      </x:c>
      <x:c r="F39" s="65"/>
      <x:c r="G39" s="70" t="str">
        <x:f>IF(A39="","",IF(AND(ISNUMBER(E39),ISNUMBER($B$4),$B$4&gt;=0,F39&lt;&gt;""),IF(ABS(E39)&lt;=$B$4,"ARITHMETIC MATCH","DIFFERENCE"),"INPUT REQUIRED"))</x:f>
      </x:c>
      <x:c r="H39" s="71"/>
      <x:c r="I39" s="69" t="str">
        <x:f>IF(COUNT(C39,H39)=2,H39-C39,"")</x:f>
      </x:c>
      <x:c r="J39" s="65"/>
    </x:row>
    <x:row r="40" ht="33" customHeight="1">
      <x:c r="A40" s="65"/>
      <x:c r="B40" s="65"/>
      <x:c r="C40" s="71"/>
      <x:c r="D40" s="71"/>
      <x:c r="E40" s="69" t="str">
        <x:f>IF(COUNT(C40:D40)=2,D40-C40,"")</x:f>
      </x:c>
      <x:c r="F40" s="65"/>
      <x:c r="G40" s="70" t="str">
        <x:f>IF(A40="","",IF(AND(ISNUMBER(E40),ISNUMBER($B$4),$B$4&gt;=0,F40&lt;&gt;""),IF(ABS(E40)&lt;=$B$4,"ARITHMETIC MATCH","DIFFERENCE"),"INPUT REQUIRED"))</x:f>
      </x:c>
      <x:c r="H40" s="71"/>
      <x:c r="I40" s="69" t="str">
        <x:f>IF(COUNT(C40,H40)=2,H40-C40,"")</x:f>
      </x:c>
      <x:c r="J40" s="65"/>
    </x:row>
    <x:row r="41" ht="33" customHeight="1">
      <x:c r="A41" s="65"/>
      <x:c r="B41" s="65"/>
      <x:c r="C41" s="71"/>
      <x:c r="D41" s="71"/>
      <x:c r="E41" s="69" t="str">
        <x:f>IF(COUNT(C41:D41)=2,D41-C41,"")</x:f>
      </x:c>
      <x:c r="F41" s="65"/>
      <x:c r="G41" s="70" t="str">
        <x:f>IF(A41="","",IF(AND(ISNUMBER(E41),ISNUMBER($B$4),$B$4&gt;=0,F41&lt;&gt;""),IF(ABS(E41)&lt;=$B$4,"ARITHMETIC MATCH","DIFFERENCE"),"INPUT REQUIRED"))</x:f>
      </x:c>
      <x:c r="H41" s="71"/>
      <x:c r="I41" s="69" t="str">
        <x:f>IF(COUNT(C41,H41)=2,H41-C41,"")</x:f>
      </x:c>
      <x:c r="J41" s="65"/>
    </x:row>
    <x:row r="42" ht="33" customHeight="1">
      <x:c r="A42" s="65"/>
      <x:c r="B42" s="65"/>
      <x:c r="C42" s="71"/>
      <x:c r="D42" s="71"/>
      <x:c r="E42" s="69" t="str">
        <x:f>IF(COUNT(C42:D42)=2,D42-C42,"")</x:f>
      </x:c>
      <x:c r="F42" s="65"/>
      <x:c r="G42" s="70" t="str">
        <x:f>IF(A42="","",IF(AND(ISNUMBER(E42),ISNUMBER($B$4),$B$4&gt;=0,F42&lt;&gt;""),IF(ABS(E42)&lt;=$B$4,"ARITHMETIC MATCH","DIFFERENCE"),"INPUT REQUIRED"))</x:f>
      </x:c>
      <x:c r="H42" s="71"/>
      <x:c r="I42" s="69" t="str">
        <x:f>IF(COUNT(C42,H42)=2,H42-C42,"")</x:f>
      </x:c>
      <x:c r="J42" s="65"/>
    </x:row>
    <x:row r="43" ht="33" customHeight="1">
      <x:c r="A43" s="65"/>
      <x:c r="B43" s="65"/>
      <x:c r="C43" s="71"/>
      <x:c r="D43" s="71"/>
      <x:c r="E43" s="69" t="str">
        <x:f>IF(COUNT(C43:D43)=2,D43-C43,"")</x:f>
      </x:c>
      <x:c r="F43" s="65"/>
      <x:c r="G43" s="70" t="str">
        <x:f>IF(A43="","",IF(AND(ISNUMBER(E43),ISNUMBER($B$4),$B$4&gt;=0,F43&lt;&gt;""),IF(ABS(E43)&lt;=$B$4,"ARITHMETIC MATCH","DIFFERENCE"),"INPUT REQUIRED"))</x:f>
      </x:c>
      <x:c r="H43" s="71"/>
      <x:c r="I43" s="69" t="str">
        <x:f>IF(COUNT(C43,H43)=2,H43-C43,"")</x:f>
      </x:c>
      <x:c r="J43" s="65"/>
    </x:row>
    <x:row r="44" ht="33" customHeight="1">
      <x:c r="A44" s="65"/>
      <x:c r="B44" s="65"/>
      <x:c r="C44" s="71"/>
      <x:c r="D44" s="71"/>
      <x:c r="E44" s="69" t="str">
        <x:f>IF(COUNT(C44:D44)=2,D44-C44,"")</x:f>
      </x:c>
      <x:c r="F44" s="65"/>
      <x:c r="G44" s="70" t="str">
        <x:f>IF(A44="","",IF(AND(ISNUMBER(E44),ISNUMBER($B$4),$B$4&gt;=0,F44&lt;&gt;""),IF(ABS(E44)&lt;=$B$4,"ARITHMETIC MATCH","DIFFERENCE"),"INPUT REQUIRED"))</x:f>
      </x:c>
      <x:c r="H44" s="71"/>
      <x:c r="I44" s="69" t="str">
        <x:f>IF(COUNT(C44,H44)=2,H44-C44,"")</x:f>
      </x:c>
      <x:c r="J44" s="65"/>
    </x:row>
    <x:row r="45" ht="33" customHeight="1">
      <x:c r="A45" s="65"/>
      <x:c r="B45" s="65"/>
      <x:c r="C45" s="71"/>
      <x:c r="D45" s="71"/>
      <x:c r="E45" s="69" t="str">
        <x:f>IF(COUNT(C45:D45)=2,D45-C45,"")</x:f>
      </x:c>
      <x:c r="F45" s="65"/>
      <x:c r="G45" s="70" t="str">
        <x:f>IF(A45="","",IF(AND(ISNUMBER(E45),ISNUMBER($B$4),$B$4&gt;=0,F45&lt;&gt;""),IF(ABS(E45)&lt;=$B$4,"ARITHMETIC MATCH","DIFFERENCE"),"INPUT REQUIRED"))</x:f>
      </x:c>
      <x:c r="H45" s="71"/>
      <x:c r="I45" s="69" t="str">
        <x:f>IF(COUNT(C45,H45)=2,H45-C45,"")</x:f>
      </x:c>
      <x:c r="J45" s="65"/>
    </x:row>
    <x:row r="46" ht="33" customHeight="1">
      <x:c r="A46" s="65"/>
      <x:c r="B46" s="65"/>
      <x:c r="C46" s="71"/>
      <x:c r="D46" s="71"/>
      <x:c r="E46" s="69" t="str">
        <x:f>IF(COUNT(C46:D46)=2,D46-C46,"")</x:f>
      </x:c>
      <x:c r="F46" s="65"/>
      <x:c r="G46" s="70" t="str">
        <x:f>IF(A46="","",IF(AND(ISNUMBER(E46),ISNUMBER($B$4),$B$4&gt;=0,F46&lt;&gt;""),IF(ABS(E46)&lt;=$B$4,"ARITHMETIC MATCH","DIFFERENCE"),"INPUT REQUIRED"))</x:f>
      </x:c>
      <x:c r="H46" s="71"/>
      <x:c r="I46" s="69" t="str">
        <x:f>IF(COUNT(C46,H46)=2,H46-C46,"")</x:f>
      </x:c>
      <x:c r="J46" s="65"/>
    </x:row>
    <x:row r="47" ht="33" customHeight="1">
      <x:c r="A47" s="65"/>
      <x:c r="B47" s="65"/>
      <x:c r="C47" s="71"/>
      <x:c r="D47" s="71"/>
      <x:c r="E47" s="69" t="str">
        <x:f>IF(COUNT(C47:D47)=2,D47-C47,"")</x:f>
      </x:c>
      <x:c r="F47" s="65"/>
      <x:c r="G47" s="70" t="str">
        <x:f>IF(A47="","",IF(AND(ISNUMBER(E47),ISNUMBER($B$4),$B$4&gt;=0,F47&lt;&gt;""),IF(ABS(E47)&lt;=$B$4,"ARITHMETIC MATCH","DIFFERENCE"),"INPUT REQUIRED"))</x:f>
      </x:c>
      <x:c r="H47" s="71"/>
      <x:c r="I47" s="69" t="str">
        <x:f>IF(COUNT(C47,H47)=2,H47-C47,"")</x:f>
      </x:c>
      <x:c r="J47" s="65"/>
    </x:row>
    <x:row r="48" ht="33" customHeight="1">
      <x:c r="A48" s="65"/>
      <x:c r="B48" s="65"/>
      <x:c r="C48" s="71"/>
      <x:c r="D48" s="71"/>
      <x:c r="E48" s="69" t="str">
        <x:f>IF(COUNT(C48:D48)=2,D48-C48,"")</x:f>
      </x:c>
      <x:c r="F48" s="65"/>
      <x:c r="G48" s="70" t="str">
        <x:f>IF(A48="","",IF(AND(ISNUMBER(E48),ISNUMBER($B$4),$B$4&gt;=0,F48&lt;&gt;""),IF(ABS(E48)&lt;=$B$4,"ARITHMETIC MATCH","DIFFERENCE"),"INPUT REQUIRED"))</x:f>
      </x:c>
      <x:c r="H48" s="71"/>
      <x:c r="I48" s="69" t="str">
        <x:f>IF(COUNT(C48,H48)=2,H48-C48,"")</x:f>
      </x:c>
      <x:c r="J48" s="65"/>
    </x:row>
    <x:row r="49" ht="33" customHeight="1">
      <x:c r="A49" s="65"/>
      <x:c r="B49" s="65"/>
      <x:c r="C49" s="71"/>
      <x:c r="D49" s="71"/>
      <x:c r="E49" s="69" t="str">
        <x:f>IF(COUNT(C49:D49)=2,D49-C49,"")</x:f>
      </x:c>
      <x:c r="F49" s="65"/>
      <x:c r="G49" s="70" t="str">
        <x:f>IF(A49="","",IF(AND(ISNUMBER(E49),ISNUMBER($B$4),$B$4&gt;=0,F49&lt;&gt;""),IF(ABS(E49)&lt;=$B$4,"ARITHMETIC MATCH","DIFFERENCE"),"INPUT REQUIRED"))</x:f>
      </x:c>
      <x:c r="H49" s="71"/>
      <x:c r="I49" s="69" t="str">
        <x:f>IF(COUNT(C49,H49)=2,H49-C49,"")</x:f>
      </x:c>
      <x:c r="J49" s="65"/>
    </x:row>
    <x:row r="50" ht="33" customHeight="1">
      <x:c r="A50" s="65"/>
      <x:c r="B50" s="65"/>
      <x:c r="C50" s="71"/>
      <x:c r="D50" s="71"/>
      <x:c r="E50" s="69" t="str">
        <x:f>IF(COUNT(C50:D50)=2,D50-C50,"")</x:f>
      </x:c>
      <x:c r="F50" s="65"/>
      <x:c r="G50" s="70" t="str">
        <x:f>IF(A50="","",IF(AND(ISNUMBER(E50),ISNUMBER($B$4),$B$4&gt;=0,F50&lt;&gt;""),IF(ABS(E50)&lt;=$B$4,"ARITHMETIC MATCH","DIFFERENCE"),"INPUT REQUIRED"))</x:f>
      </x:c>
      <x:c r="H50" s="71"/>
      <x:c r="I50" s="69" t="str">
        <x:f>IF(COUNT(C50,H50)=2,H50-C50,"")</x:f>
      </x:c>
      <x:c r="J50" s="65"/>
    </x:row>
    <x:row r="51" ht="33" customHeight="1">
      <x:c r="A51" s="65"/>
      <x:c r="B51" s="65"/>
      <x:c r="C51" s="71"/>
      <x:c r="D51" s="71"/>
      <x:c r="E51" s="69" t="str">
        <x:f>IF(COUNT(C51:D51)=2,D51-C51,"")</x:f>
      </x:c>
      <x:c r="F51" s="65"/>
      <x:c r="G51" s="70" t="str">
        <x:f>IF(A51="","",IF(AND(ISNUMBER(E51),ISNUMBER($B$4),$B$4&gt;=0,F51&lt;&gt;""),IF(ABS(E51)&lt;=$B$4,"ARITHMETIC MATCH","DIFFERENCE"),"INPUT REQUIRED"))</x:f>
      </x:c>
      <x:c r="H51" s="71"/>
      <x:c r="I51" s="69" t="str">
        <x:f>IF(COUNT(C51,H51)=2,H51-C51,"")</x:f>
      </x:c>
      <x:c r="J51" s="65"/>
    </x:row>
    <x:row r="52" ht="33" customHeight="1">
      <x:c r="A52" s="65"/>
      <x:c r="B52" s="65"/>
      <x:c r="C52" s="71"/>
      <x:c r="D52" s="71"/>
      <x:c r="E52" s="69" t="str">
        <x:f>IF(COUNT(C52:D52)=2,D52-C52,"")</x:f>
      </x:c>
      <x:c r="F52" s="65"/>
      <x:c r="G52" s="70" t="str">
        <x:f>IF(A52="","",IF(AND(ISNUMBER(E52),ISNUMBER($B$4),$B$4&gt;=0,F52&lt;&gt;""),IF(ABS(E52)&lt;=$B$4,"ARITHMETIC MATCH","DIFFERENCE"),"INPUT REQUIRED"))</x:f>
      </x:c>
      <x:c r="H52" s="71"/>
      <x:c r="I52" s="69" t="str">
        <x:f>IF(COUNT(C52,H52)=2,H52-C52,"")</x:f>
      </x:c>
      <x:c r="J52" s="65"/>
    </x:row>
    <x:row r="53" ht="33" customHeight="1">
      <x:c r="A53" s="65"/>
      <x:c r="B53" s="65"/>
      <x:c r="C53" s="71"/>
      <x:c r="D53" s="71"/>
      <x:c r="E53" s="69" t="str">
        <x:f>IF(COUNT(C53:D53)=2,D53-C53,"")</x:f>
      </x:c>
      <x:c r="F53" s="65"/>
      <x:c r="G53" s="70" t="str">
        <x:f>IF(A53="","",IF(AND(ISNUMBER(E53),ISNUMBER($B$4),$B$4&gt;=0,F53&lt;&gt;""),IF(ABS(E53)&lt;=$B$4,"ARITHMETIC MATCH","DIFFERENCE"),"INPUT REQUIRED"))</x:f>
      </x:c>
      <x:c r="H53" s="71"/>
      <x:c r="I53" s="69" t="str">
        <x:f>IF(COUNT(C53,H53)=2,H53-C53,"")</x:f>
      </x:c>
      <x:c r="J53" s="65"/>
    </x:row>
    <x:row r="54" ht="33" customHeight="1">
      <x:c r="A54" s="65"/>
      <x:c r="B54" s="65"/>
      <x:c r="C54" s="71"/>
      <x:c r="D54" s="71"/>
      <x:c r="E54" s="69" t="str">
        <x:f>IF(COUNT(C54:D54)=2,D54-C54,"")</x:f>
      </x:c>
      <x:c r="F54" s="65"/>
      <x:c r="G54" s="70" t="str">
        <x:f>IF(A54="","",IF(AND(ISNUMBER(E54),ISNUMBER($B$4),$B$4&gt;=0,F54&lt;&gt;""),IF(ABS(E54)&lt;=$B$4,"ARITHMETIC MATCH","DIFFERENCE"),"INPUT REQUIRED"))</x:f>
      </x:c>
      <x:c r="H54" s="71"/>
      <x:c r="I54" s="69" t="str">
        <x:f>IF(COUNT(C54,H54)=2,H54-C54,"")</x:f>
      </x:c>
      <x:c r="J54" s="65"/>
    </x:row>
    <x:row r="55" ht="33" customHeight="1">
      <x:c r="A55" s="65"/>
      <x:c r="B55" s="65"/>
      <x:c r="C55" s="71"/>
      <x:c r="D55" s="71"/>
      <x:c r="E55" s="69" t="str">
        <x:f>IF(COUNT(C55:D55)=2,D55-C55,"")</x:f>
      </x:c>
      <x:c r="F55" s="65"/>
      <x:c r="G55" s="70" t="str">
        <x:f>IF(A55="","",IF(AND(ISNUMBER(E55),ISNUMBER($B$4),$B$4&gt;=0,F55&lt;&gt;""),IF(ABS(E55)&lt;=$B$4,"ARITHMETIC MATCH","DIFFERENCE"),"INPUT REQUIRED"))</x:f>
      </x:c>
      <x:c r="H55" s="71"/>
      <x:c r="I55" s="69" t="str">
        <x:f>IF(COUNT(C55,H55)=2,H55-C55,"")</x:f>
      </x:c>
      <x:c r="J55" s="65"/>
    </x:row>
  </x:sheetData>
  <x:mergeCells>
    <x:mergeCell ref="A1:J1"/>
    <x:mergeCell ref="A2:J3"/>
  </x:mergeCells>
  <x:pageMargins left="0.7" right="0.7" top="0.75" bottom="0.75" header="0.3" footer="0.3"/>
</x:worksheet>
</file>